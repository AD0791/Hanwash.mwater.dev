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defaultThemeVersion="166925"/>
  <mc:AlternateContent xmlns:mc="http://schemas.openxmlformats.org/markup-compatibility/2006">
    <mc:Choice Requires="x15">
      <x15ac:absPath xmlns:x15ac="http://schemas.microsoft.com/office/spreadsheetml/2010/11/ac" url="C:\Users\Dell\Documents\HANWASH\"/>
    </mc:Choice>
  </mc:AlternateContent>
  <xr:revisionPtr revIDLastSave="0" documentId="8_{05540C5D-DB48-4EB6-AA3A-0FFD01DB3493}" xr6:coauthVersionLast="47" xr6:coauthVersionMax="47" xr10:uidLastSave="{00000000-0000-0000-0000-000000000000}"/>
  <bookViews>
    <workbookView xWindow="-110" yWindow="-110" windowWidth="19420" windowHeight="10300" firstSheet="1" activeTab="1" xr2:uid="{DF3FF418-B542-D74F-B6FD-41CC930D37E1}"/>
  </bookViews>
  <sheets>
    <sheet name="Mattson LM" sheetId="13" state="hidden" r:id="rId1"/>
    <sheet name="Sheet1" sheetId="23" r:id="rId2"/>
    <sheet name="Indicator framework-Revised" sheetId="15" r:id="rId3"/>
    <sheet name="Log frame" sheetId="7" r:id="rId4"/>
    <sheet name="Indicator framework-Initial" sheetId="4" state="hidden" r:id="rId5"/>
    <sheet name="Indicator-Mayors" sheetId="16" state="hidden" r:id="rId6"/>
    <sheet name="Indicator-Implementing partner" sheetId="17" state="hidden" r:id="rId7"/>
    <sheet name="Indicator-Host Rotary Club" sheetId="18" state="hidden" r:id="rId8"/>
    <sheet name="data" sheetId="14" state="hidden" r:id="rId9"/>
    <sheet name="Performance objectives" sheetId="11" state="hidden" r:id="rId10"/>
    <sheet name="Monitoring framework" sheetId="9" state="hidden" r:id="rId11"/>
    <sheet name="Indicator-Service providers" sheetId="19" state="hidden" r:id="rId12"/>
    <sheet name="Indicator-OREPA Focal Points" sheetId="20" state="hidden" r:id="rId13"/>
    <sheet name="Indicator-Commune WASH Committe" sheetId="21" state="hidden" r:id="rId14"/>
    <sheet name="Indicator-HANWASH Staff" sheetId="22" state="hidden" r:id="rId15"/>
    <sheet name="Core values" sheetId="12" r:id="rId16"/>
  </sheets>
  <definedNames>
    <definedName name="_xlnm._FilterDatabase" localSheetId="8" hidden="1">data!$A$1:$S$59</definedName>
    <definedName name="_xlnm._FilterDatabase" localSheetId="4" hidden="1">'Indicator framework-Initial'!$A$14:$N$73</definedName>
    <definedName name="_xlnm._FilterDatabase" localSheetId="2" hidden="1">'Indicator framework-Revised'!$A$11:$N$57</definedName>
    <definedName name="_xlnm._FilterDatabase" localSheetId="13" hidden="1">'Indicator-Commune WASH Committe'!$A$11:$N$57</definedName>
    <definedName name="_xlnm._FilterDatabase" localSheetId="14" hidden="1">'Indicator-HANWASH Staff'!$A$11:$N$57</definedName>
    <definedName name="_xlnm._FilterDatabase" localSheetId="7" hidden="1">'Indicator-Host Rotary Club'!$A$11:$N$57</definedName>
    <definedName name="_xlnm._FilterDatabase" localSheetId="6" hidden="1">'Indicator-Implementing partner'!$A$11:$N$57</definedName>
    <definedName name="_xlnm._FilterDatabase" localSheetId="5" hidden="1">'Indicator-Mayors'!$A$11:$N$57</definedName>
    <definedName name="_xlnm._FilterDatabase" localSheetId="12" hidden="1">'Indicator-OREPA Focal Points'!$A$11:$N$57</definedName>
    <definedName name="_xlnm._FilterDatabase" localSheetId="11" hidden="1">'Indicator-Service providers'!$A$11:$N$57</definedName>
    <definedName name="_xlnm._FilterDatabase" localSheetId="10" hidden="1">'Monitoring framework'!$A$12:$D$12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7" i="22" l="1"/>
  <c r="C57" i="22"/>
  <c r="I56" i="22"/>
  <c r="C56" i="22"/>
  <c r="C55" i="22"/>
  <c r="I54" i="22"/>
  <c r="C54" i="22"/>
  <c r="C53" i="22"/>
  <c r="I52" i="22"/>
  <c r="C52" i="22"/>
  <c r="I51" i="22"/>
  <c r="C51" i="22"/>
  <c r="C50" i="22"/>
  <c r="C49" i="22"/>
  <c r="C48" i="22"/>
  <c r="C47" i="22"/>
  <c r="C46" i="22"/>
  <c r="C45" i="22"/>
  <c r="C44" i="22"/>
  <c r="C43" i="22"/>
  <c r="I42" i="22"/>
  <c r="C42" i="22"/>
  <c r="I40" i="22"/>
  <c r="C40" i="22"/>
  <c r="I39" i="22"/>
  <c r="C39" i="22"/>
  <c r="C38" i="22"/>
  <c r="I37" i="22"/>
  <c r="C37" i="22"/>
  <c r="I36" i="22"/>
  <c r="C36" i="22"/>
  <c r="I35" i="22"/>
  <c r="I34" i="22"/>
  <c r="C34" i="22"/>
  <c r="C35" i="22" s="1"/>
  <c r="I33" i="22"/>
  <c r="C33" i="22"/>
  <c r="I32" i="22"/>
  <c r="C32" i="22"/>
  <c r="I31" i="22"/>
  <c r="C31" i="22"/>
  <c r="I30" i="22"/>
  <c r="C30" i="22"/>
  <c r="I29" i="22"/>
  <c r="C29" i="22"/>
  <c r="I28" i="22"/>
  <c r="C28" i="22"/>
  <c r="I27" i="22"/>
  <c r="C27" i="22"/>
  <c r="I24" i="22"/>
  <c r="C24" i="22"/>
  <c r="C25" i="22" s="1"/>
  <c r="C26" i="22" s="1"/>
  <c r="I23" i="22"/>
  <c r="C23" i="22"/>
  <c r="I21" i="22"/>
  <c r="C21" i="22"/>
  <c r="C20" i="22"/>
  <c r="I19" i="22"/>
  <c r="C19" i="22"/>
  <c r="I18" i="22"/>
  <c r="C18" i="22"/>
  <c r="I17" i="22"/>
  <c r="C17" i="22"/>
  <c r="I16" i="22"/>
  <c r="I14" i="22"/>
  <c r="C14" i="22"/>
  <c r="I13" i="22"/>
  <c r="C13" i="22"/>
  <c r="I12" i="22"/>
  <c r="C12" i="22"/>
  <c r="F2" i="22"/>
  <c r="I57" i="21"/>
  <c r="C57" i="21"/>
  <c r="I56" i="21"/>
  <c r="C56" i="21"/>
  <c r="C55" i="21"/>
  <c r="I54" i="21"/>
  <c r="C54" i="21"/>
  <c r="C53" i="21"/>
  <c r="I52" i="21"/>
  <c r="C52" i="21"/>
  <c r="I51" i="21"/>
  <c r="C51" i="21"/>
  <c r="C50" i="21"/>
  <c r="C49" i="21"/>
  <c r="C48" i="21"/>
  <c r="C47" i="21"/>
  <c r="C46" i="21"/>
  <c r="C45" i="21"/>
  <c r="C44" i="21"/>
  <c r="C43" i="21"/>
  <c r="I42" i="21"/>
  <c r="C42" i="21"/>
  <c r="I40" i="21"/>
  <c r="C40" i="21"/>
  <c r="I39" i="21"/>
  <c r="C39" i="21"/>
  <c r="C38" i="21"/>
  <c r="I37" i="21"/>
  <c r="C37" i="21"/>
  <c r="I36" i="21"/>
  <c r="C36" i="21"/>
  <c r="I35" i="21"/>
  <c r="I34" i="21"/>
  <c r="C34" i="21"/>
  <c r="C35" i="21" s="1"/>
  <c r="I33" i="21"/>
  <c r="C33" i="21"/>
  <c r="I32" i="21"/>
  <c r="C32" i="21"/>
  <c r="I31" i="21"/>
  <c r="C31" i="21"/>
  <c r="I30" i="21"/>
  <c r="C30" i="21"/>
  <c r="I29" i="21"/>
  <c r="C29" i="21"/>
  <c r="I28" i="21"/>
  <c r="C28" i="21"/>
  <c r="I27" i="21"/>
  <c r="C27" i="21"/>
  <c r="I24" i="21"/>
  <c r="I23" i="21"/>
  <c r="C23" i="21"/>
  <c r="C24" i="21" s="1"/>
  <c r="C25" i="21" s="1"/>
  <c r="C26" i="21" s="1"/>
  <c r="I21" i="21"/>
  <c r="C21" i="21"/>
  <c r="C20" i="21"/>
  <c r="I19" i="21"/>
  <c r="C19" i="21"/>
  <c r="I18" i="21"/>
  <c r="C18" i="21"/>
  <c r="I17" i="21"/>
  <c r="C17" i="21"/>
  <c r="I16" i="21"/>
  <c r="I14" i="21"/>
  <c r="C14" i="21"/>
  <c r="I13" i="21"/>
  <c r="C13" i="21"/>
  <c r="I12" i="21"/>
  <c r="C12" i="21"/>
  <c r="F2" i="21"/>
  <c r="I57" i="20"/>
  <c r="C57" i="20"/>
  <c r="I56" i="20"/>
  <c r="C56" i="20"/>
  <c r="C55" i="20"/>
  <c r="I54" i="20"/>
  <c r="C54" i="20"/>
  <c r="C53" i="20"/>
  <c r="I52" i="20"/>
  <c r="C52" i="20"/>
  <c r="I51" i="20"/>
  <c r="C51" i="20"/>
  <c r="C50" i="20"/>
  <c r="C49" i="20"/>
  <c r="C48" i="20"/>
  <c r="C47" i="20"/>
  <c r="C46" i="20"/>
  <c r="C45" i="20"/>
  <c r="C44" i="20"/>
  <c r="C43" i="20"/>
  <c r="I42" i="20"/>
  <c r="C42" i="20"/>
  <c r="I40" i="20"/>
  <c r="C40" i="20"/>
  <c r="I39" i="20"/>
  <c r="C39" i="20"/>
  <c r="C38" i="20"/>
  <c r="I37" i="20"/>
  <c r="C37" i="20"/>
  <c r="I36" i="20"/>
  <c r="C36" i="20"/>
  <c r="I35" i="20"/>
  <c r="C35" i="20"/>
  <c r="I34" i="20"/>
  <c r="C34" i="20"/>
  <c r="I33" i="20"/>
  <c r="C33" i="20"/>
  <c r="I32" i="20"/>
  <c r="C32" i="20"/>
  <c r="I31" i="20"/>
  <c r="C31" i="20"/>
  <c r="I30" i="20"/>
  <c r="C30" i="20"/>
  <c r="I29" i="20"/>
  <c r="C29" i="20"/>
  <c r="I28" i="20"/>
  <c r="C28" i="20"/>
  <c r="I27" i="20"/>
  <c r="C27" i="20"/>
  <c r="I24" i="20"/>
  <c r="I23" i="20"/>
  <c r="C23" i="20"/>
  <c r="C24" i="20" s="1"/>
  <c r="C25" i="20" s="1"/>
  <c r="C26" i="20" s="1"/>
  <c r="I21" i="20"/>
  <c r="C21" i="20"/>
  <c r="C20" i="20"/>
  <c r="I19" i="20"/>
  <c r="C19" i="20"/>
  <c r="I18" i="20"/>
  <c r="C18" i="20"/>
  <c r="I17" i="20"/>
  <c r="C17" i="20"/>
  <c r="I16" i="20"/>
  <c r="I14" i="20"/>
  <c r="C14" i="20"/>
  <c r="I13" i="20"/>
  <c r="C13" i="20"/>
  <c r="I12" i="20"/>
  <c r="C12" i="20"/>
  <c r="F2" i="20"/>
  <c r="I57" i="19"/>
  <c r="C57" i="19"/>
  <c r="I56" i="19"/>
  <c r="C56" i="19"/>
  <c r="C55" i="19"/>
  <c r="I54" i="19"/>
  <c r="C54" i="19"/>
  <c r="C53" i="19"/>
  <c r="I52" i="19"/>
  <c r="C52" i="19"/>
  <c r="I51" i="19"/>
  <c r="C51" i="19"/>
  <c r="C50" i="19"/>
  <c r="C49" i="19"/>
  <c r="C48" i="19"/>
  <c r="C47" i="19"/>
  <c r="C46" i="19"/>
  <c r="C45" i="19"/>
  <c r="C44" i="19"/>
  <c r="C43" i="19"/>
  <c r="I42" i="19"/>
  <c r="C42" i="19"/>
  <c r="I40" i="19"/>
  <c r="C40" i="19"/>
  <c r="I39" i="19"/>
  <c r="C39" i="19"/>
  <c r="C38" i="19"/>
  <c r="I37" i="19"/>
  <c r="C37" i="19"/>
  <c r="I36" i="19"/>
  <c r="C36" i="19"/>
  <c r="I35" i="19"/>
  <c r="I34" i="19"/>
  <c r="C34" i="19"/>
  <c r="C35" i="19" s="1"/>
  <c r="I33" i="19"/>
  <c r="C33" i="19"/>
  <c r="I32" i="19"/>
  <c r="C32" i="19"/>
  <c r="I31" i="19"/>
  <c r="C31" i="19"/>
  <c r="I30" i="19"/>
  <c r="C30" i="19"/>
  <c r="I29" i="19"/>
  <c r="C29" i="19"/>
  <c r="I28" i="19"/>
  <c r="C28" i="19"/>
  <c r="I27" i="19"/>
  <c r="C27" i="19"/>
  <c r="I24" i="19"/>
  <c r="I23" i="19"/>
  <c r="C23" i="19"/>
  <c r="C24" i="19" s="1"/>
  <c r="C25" i="19" s="1"/>
  <c r="C26" i="19" s="1"/>
  <c r="I21" i="19"/>
  <c r="C21" i="19"/>
  <c r="C20" i="19"/>
  <c r="I19" i="19"/>
  <c r="C19" i="19"/>
  <c r="I18" i="19"/>
  <c r="C18" i="19"/>
  <c r="I17" i="19"/>
  <c r="C17" i="19"/>
  <c r="I16" i="19"/>
  <c r="I14" i="19"/>
  <c r="C14" i="19"/>
  <c r="I13" i="19"/>
  <c r="C13" i="19"/>
  <c r="I12" i="19"/>
  <c r="C12" i="19"/>
  <c r="F2" i="19"/>
  <c r="I57" i="18"/>
  <c r="C57" i="18"/>
  <c r="I56" i="18"/>
  <c r="C56" i="18"/>
  <c r="C55" i="18"/>
  <c r="I54" i="18"/>
  <c r="C54" i="18"/>
  <c r="C53" i="18"/>
  <c r="I52" i="18"/>
  <c r="C52" i="18"/>
  <c r="I51" i="18"/>
  <c r="C51" i="18"/>
  <c r="C50" i="18"/>
  <c r="C49" i="18"/>
  <c r="C48" i="18"/>
  <c r="C47" i="18"/>
  <c r="C46" i="18"/>
  <c r="C45" i="18"/>
  <c r="C44" i="18"/>
  <c r="C43" i="18"/>
  <c r="I42" i="18"/>
  <c r="C42" i="18"/>
  <c r="I40" i="18"/>
  <c r="C40" i="18"/>
  <c r="I39" i="18"/>
  <c r="C39" i="18"/>
  <c r="C38" i="18"/>
  <c r="I37" i="18"/>
  <c r="C37" i="18"/>
  <c r="I36" i="18"/>
  <c r="C36" i="18"/>
  <c r="I35" i="18"/>
  <c r="I34" i="18"/>
  <c r="C34" i="18"/>
  <c r="C35" i="18" s="1"/>
  <c r="I33" i="18"/>
  <c r="C33" i="18"/>
  <c r="I32" i="18"/>
  <c r="C32" i="18"/>
  <c r="I31" i="18"/>
  <c r="C31" i="18"/>
  <c r="I30" i="18"/>
  <c r="C30" i="18"/>
  <c r="I29" i="18"/>
  <c r="C29" i="18"/>
  <c r="I28" i="18"/>
  <c r="C28" i="18"/>
  <c r="I27" i="18"/>
  <c r="C27" i="18"/>
  <c r="I24" i="18"/>
  <c r="I23" i="18"/>
  <c r="C23" i="18"/>
  <c r="C24" i="18" s="1"/>
  <c r="C25" i="18" s="1"/>
  <c r="C26" i="18" s="1"/>
  <c r="I21" i="18"/>
  <c r="C21" i="18"/>
  <c r="C20" i="18"/>
  <c r="I19" i="18"/>
  <c r="C19" i="18"/>
  <c r="I18" i="18"/>
  <c r="C18" i="18"/>
  <c r="I17" i="18"/>
  <c r="C17" i="18"/>
  <c r="I16" i="18"/>
  <c r="I14" i="18"/>
  <c r="C14" i="18"/>
  <c r="I13" i="18"/>
  <c r="C13" i="18"/>
  <c r="I12" i="18"/>
  <c r="C12" i="18"/>
  <c r="F2" i="18"/>
  <c r="I57" i="17"/>
  <c r="C57" i="17"/>
  <c r="I56" i="17"/>
  <c r="C56" i="17"/>
  <c r="C55" i="17"/>
  <c r="I54" i="17"/>
  <c r="C54" i="17"/>
  <c r="C53" i="17"/>
  <c r="I52" i="17"/>
  <c r="C52" i="17"/>
  <c r="I51" i="17"/>
  <c r="C51" i="17"/>
  <c r="C50" i="17"/>
  <c r="C49" i="17"/>
  <c r="C48" i="17"/>
  <c r="C47" i="17"/>
  <c r="C46" i="17"/>
  <c r="C45" i="17"/>
  <c r="C44" i="17"/>
  <c r="C43" i="17"/>
  <c r="I42" i="17"/>
  <c r="C42" i="17"/>
  <c r="I40" i="17"/>
  <c r="C40" i="17"/>
  <c r="I39" i="17"/>
  <c r="C39" i="17"/>
  <c r="C38" i="17"/>
  <c r="I37" i="17"/>
  <c r="C37" i="17"/>
  <c r="I36" i="17"/>
  <c r="C36" i="17"/>
  <c r="I35" i="17"/>
  <c r="I34" i="17"/>
  <c r="C34" i="17"/>
  <c r="C35" i="17" s="1"/>
  <c r="I33" i="17"/>
  <c r="C33" i="17"/>
  <c r="I32" i="17"/>
  <c r="C32" i="17"/>
  <c r="I31" i="17"/>
  <c r="C31" i="17"/>
  <c r="I30" i="17"/>
  <c r="C30" i="17"/>
  <c r="I29" i="17"/>
  <c r="C29" i="17"/>
  <c r="I28" i="17"/>
  <c r="C28" i="17"/>
  <c r="I27" i="17"/>
  <c r="C27" i="17"/>
  <c r="I24" i="17"/>
  <c r="I23" i="17"/>
  <c r="C23" i="17"/>
  <c r="C24" i="17" s="1"/>
  <c r="C25" i="17" s="1"/>
  <c r="C26" i="17" s="1"/>
  <c r="I21" i="17"/>
  <c r="C21" i="17"/>
  <c r="C20" i="17"/>
  <c r="I19" i="17"/>
  <c r="C19" i="17"/>
  <c r="I18" i="17"/>
  <c r="C18" i="17"/>
  <c r="I17" i="17"/>
  <c r="C17" i="17"/>
  <c r="I16" i="17"/>
  <c r="I14" i="17"/>
  <c r="C14" i="17"/>
  <c r="I13" i="17"/>
  <c r="C13" i="17"/>
  <c r="I12" i="17"/>
  <c r="C12" i="17"/>
  <c r="F2" i="17"/>
  <c r="I57" i="16"/>
  <c r="C57" i="16"/>
  <c r="I56" i="16"/>
  <c r="C56" i="16"/>
  <c r="C55" i="16"/>
  <c r="I54" i="16"/>
  <c r="C54" i="16"/>
  <c r="C53" i="16"/>
  <c r="I52" i="16"/>
  <c r="C52" i="16"/>
  <c r="I51" i="16"/>
  <c r="C51" i="16"/>
  <c r="C50" i="16"/>
  <c r="C49" i="16"/>
  <c r="C48" i="16"/>
  <c r="C47" i="16"/>
  <c r="C46" i="16"/>
  <c r="C45" i="16"/>
  <c r="C44" i="16"/>
  <c r="C43" i="16"/>
  <c r="I42" i="16"/>
  <c r="C42" i="16"/>
  <c r="I40" i="16"/>
  <c r="C40" i="16"/>
  <c r="I39" i="16"/>
  <c r="C39" i="16"/>
  <c r="C38" i="16"/>
  <c r="I37" i="16"/>
  <c r="C37" i="16"/>
  <c r="I36" i="16"/>
  <c r="C36" i="16"/>
  <c r="I35" i="16"/>
  <c r="C35" i="16"/>
  <c r="I34" i="16"/>
  <c r="C34" i="16"/>
  <c r="I33" i="16"/>
  <c r="C33" i="16"/>
  <c r="I32" i="16"/>
  <c r="C32" i="16"/>
  <c r="I31" i="16"/>
  <c r="C31" i="16"/>
  <c r="I30" i="16"/>
  <c r="C30" i="16"/>
  <c r="I29" i="16"/>
  <c r="C29" i="16"/>
  <c r="I28" i="16"/>
  <c r="C28" i="16"/>
  <c r="I27" i="16"/>
  <c r="C27" i="16"/>
  <c r="I24" i="16"/>
  <c r="I23" i="16"/>
  <c r="C23" i="16"/>
  <c r="C24" i="16" s="1"/>
  <c r="C25" i="16" s="1"/>
  <c r="C26" i="16" s="1"/>
  <c r="I21" i="16"/>
  <c r="C21" i="16"/>
  <c r="C20" i="16"/>
  <c r="I19" i="16"/>
  <c r="C19" i="16"/>
  <c r="I18" i="16"/>
  <c r="C18" i="16"/>
  <c r="I17" i="16"/>
  <c r="C17" i="16"/>
  <c r="I16" i="16"/>
  <c r="I14" i="16"/>
  <c r="C14" i="16"/>
  <c r="I13" i="16"/>
  <c r="C13" i="16"/>
  <c r="I12" i="16"/>
  <c r="C12" i="16"/>
  <c r="F2" i="16"/>
  <c r="C44" i="15"/>
  <c r="I24" i="15"/>
  <c r="I57" i="15"/>
  <c r="C57" i="15"/>
  <c r="I56" i="15"/>
  <c r="C56" i="15"/>
  <c r="C55" i="15"/>
  <c r="I54" i="15"/>
  <c r="C54" i="15"/>
  <c r="C53" i="15"/>
  <c r="I52" i="15"/>
  <c r="C52" i="15"/>
  <c r="I51" i="15"/>
  <c r="C51" i="15"/>
  <c r="C50" i="15"/>
  <c r="C49" i="15"/>
  <c r="C48" i="15"/>
  <c r="C47" i="15"/>
  <c r="C46" i="15"/>
  <c r="C45" i="15"/>
  <c r="C43" i="15"/>
  <c r="I42" i="15"/>
  <c r="C42" i="15"/>
  <c r="I40" i="15"/>
  <c r="C40" i="15"/>
  <c r="I39" i="15"/>
  <c r="C39" i="15"/>
  <c r="C38" i="15"/>
  <c r="I35" i="15"/>
  <c r="I37" i="15"/>
  <c r="C37" i="15"/>
  <c r="I36" i="15"/>
  <c r="C36" i="15"/>
  <c r="I34" i="15"/>
  <c r="C34" i="15"/>
  <c r="C35" i="15" s="1"/>
  <c r="I33" i="15"/>
  <c r="C33" i="15"/>
  <c r="I32" i="15"/>
  <c r="C32" i="15"/>
  <c r="I31" i="15"/>
  <c r="C31" i="15"/>
  <c r="I30" i="15"/>
  <c r="C30" i="15"/>
  <c r="I29" i="15"/>
  <c r="C29" i="15"/>
  <c r="I28" i="15"/>
  <c r="C28" i="15"/>
  <c r="I27" i="15"/>
  <c r="C27" i="15"/>
  <c r="I23" i="15"/>
  <c r="C23" i="15"/>
  <c r="C24" i="15" s="1"/>
  <c r="C25" i="15" s="1"/>
  <c r="C26" i="15" s="1"/>
  <c r="I21" i="15"/>
  <c r="C21" i="15"/>
  <c r="C20" i="15"/>
  <c r="I19" i="15"/>
  <c r="C19" i="15"/>
  <c r="I18" i="15"/>
  <c r="C18" i="15"/>
  <c r="I17" i="15"/>
  <c r="C17" i="15"/>
  <c r="I16" i="15"/>
  <c r="I14" i="15"/>
  <c r="C14" i="15"/>
  <c r="I13" i="15"/>
  <c r="C13" i="15"/>
  <c r="I12" i="15"/>
  <c r="C12" i="15"/>
  <c r="F2" i="15"/>
  <c r="K15" i="11"/>
  <c r="F13" i="11" l="1"/>
  <c r="C41" i="4"/>
  <c r="C15" i="13"/>
  <c r="F16" i="11"/>
  <c r="E13" i="11" l="1"/>
  <c r="F14" i="11"/>
  <c r="C59" i="4"/>
  <c r="C36" i="4"/>
  <c r="F15" i="13"/>
  <c r="G21" i="13"/>
  <c r="F21" i="13"/>
  <c r="E21" i="13"/>
  <c r="D21" i="13"/>
  <c r="C21" i="13"/>
  <c r="H19" i="13"/>
  <c r="G19" i="13"/>
  <c r="F19" i="13"/>
  <c r="E19" i="13"/>
  <c r="D19" i="13"/>
  <c r="C19" i="13"/>
  <c r="H17" i="13"/>
  <c r="G17" i="13"/>
  <c r="F17" i="13"/>
  <c r="E17" i="13"/>
  <c r="D17" i="13"/>
  <c r="C17" i="13"/>
  <c r="C13" i="13"/>
  <c r="C26" i="4"/>
  <c r="E16" i="9"/>
  <c r="F20" i="9"/>
  <c r="F19" i="9"/>
  <c r="I39" i="4"/>
  <c r="C39" i="4"/>
  <c r="C16" i="11" l="1"/>
  <c r="B13" i="11"/>
  <c r="C15" i="11"/>
  <c r="D14" i="11"/>
  <c r="C14" i="11"/>
  <c r="C13" i="11"/>
  <c r="D13" i="11"/>
  <c r="D16" i="11"/>
  <c r="F15" i="11"/>
  <c r="B14" i="9"/>
  <c r="C14" i="9"/>
  <c r="D14" i="9"/>
  <c r="B15" i="9"/>
  <c r="C15" i="9"/>
  <c r="D15" i="9"/>
  <c r="B16" i="9"/>
  <c r="C16" i="9"/>
  <c r="D16" i="9"/>
  <c r="B17" i="9"/>
  <c r="C17" i="9"/>
  <c r="D17" i="9"/>
  <c r="B18" i="9"/>
  <c r="C18" i="9"/>
  <c r="D18" i="9"/>
  <c r="B19" i="9"/>
  <c r="C19" i="9"/>
  <c r="D19" i="9"/>
  <c r="B20" i="9"/>
  <c r="C20" i="9"/>
  <c r="D20" i="9"/>
  <c r="B21" i="9"/>
  <c r="C21" i="9"/>
  <c r="D21" i="9"/>
  <c r="A22" i="9"/>
  <c r="B22" i="9"/>
  <c r="C22" i="9"/>
  <c r="D22" i="9"/>
  <c r="B23" i="9"/>
  <c r="C23" i="9"/>
  <c r="D23" i="9"/>
  <c r="B24" i="9"/>
  <c r="C24" i="9"/>
  <c r="D24" i="9"/>
  <c r="B25" i="9"/>
  <c r="C25" i="9"/>
  <c r="D25" i="9"/>
  <c r="B26" i="9"/>
  <c r="C26" i="9"/>
  <c r="D26" i="9"/>
  <c r="B27" i="9"/>
  <c r="C27" i="9"/>
  <c r="D27" i="9"/>
  <c r="B28" i="9"/>
  <c r="C28" i="9"/>
  <c r="D28" i="9"/>
  <c r="B29" i="9"/>
  <c r="C29" i="9"/>
  <c r="D29" i="9"/>
  <c r="B30" i="9"/>
  <c r="C30" i="9"/>
  <c r="D30" i="9"/>
  <c r="B31" i="9"/>
  <c r="C31" i="9"/>
  <c r="D31" i="9"/>
  <c r="B32" i="9"/>
  <c r="C32" i="9"/>
  <c r="D32" i="9"/>
  <c r="B33" i="9"/>
  <c r="C33" i="9"/>
  <c r="D33" i="9"/>
  <c r="B34" i="9"/>
  <c r="C34" i="9"/>
  <c r="D34" i="9"/>
  <c r="B35" i="9"/>
  <c r="C35" i="9"/>
  <c r="D35" i="9"/>
  <c r="B36" i="9"/>
  <c r="C36" i="9"/>
  <c r="D36" i="9"/>
  <c r="B37" i="9"/>
  <c r="C37" i="9"/>
  <c r="D37" i="9"/>
  <c r="B38" i="9"/>
  <c r="C38" i="9"/>
  <c r="D38" i="9"/>
  <c r="B39" i="9"/>
  <c r="C39" i="9"/>
  <c r="D39" i="9"/>
  <c r="B40" i="9"/>
  <c r="C40" i="9"/>
  <c r="D40" i="9"/>
  <c r="A41" i="9"/>
  <c r="B41" i="9"/>
  <c r="C41" i="9"/>
  <c r="D41" i="9"/>
  <c r="B42" i="9"/>
  <c r="C42" i="9"/>
  <c r="D42" i="9"/>
  <c r="B43" i="9"/>
  <c r="C43" i="9"/>
  <c r="D43" i="9"/>
  <c r="B44" i="9"/>
  <c r="C44" i="9"/>
  <c r="D44" i="9"/>
  <c r="B45" i="9"/>
  <c r="C45" i="9"/>
  <c r="D45" i="9"/>
  <c r="A46" i="9"/>
  <c r="B46" i="9"/>
  <c r="C46" i="9"/>
  <c r="D46" i="9"/>
  <c r="A47" i="9"/>
  <c r="B47" i="9"/>
  <c r="C47" i="9"/>
  <c r="D47" i="9"/>
  <c r="A48" i="9"/>
  <c r="B48" i="9"/>
  <c r="C48" i="9"/>
  <c r="D48" i="9"/>
  <c r="A49" i="9"/>
  <c r="B49" i="9"/>
  <c r="C49" i="9"/>
  <c r="D49" i="9"/>
  <c r="A50" i="9"/>
  <c r="B50" i="9"/>
  <c r="C50" i="9"/>
  <c r="D50" i="9"/>
  <c r="A51" i="9"/>
  <c r="B51" i="9"/>
  <c r="C51" i="9"/>
  <c r="D51" i="9"/>
  <c r="A52" i="9"/>
  <c r="B52" i="9"/>
  <c r="C52" i="9"/>
  <c r="D52" i="9"/>
  <c r="A53" i="9"/>
  <c r="B53" i="9"/>
  <c r="C53" i="9"/>
  <c r="D53" i="9"/>
  <c r="B54" i="9"/>
  <c r="C54" i="9"/>
  <c r="D54" i="9"/>
  <c r="B55" i="9"/>
  <c r="C55" i="9"/>
  <c r="D55" i="9"/>
  <c r="A56" i="9"/>
  <c r="B56" i="9"/>
  <c r="C56" i="9"/>
  <c r="D56" i="9"/>
  <c r="B57" i="9"/>
  <c r="C57" i="9"/>
  <c r="D57" i="9"/>
  <c r="A58" i="9"/>
  <c r="B58" i="9"/>
  <c r="C58" i="9"/>
  <c r="D58" i="9"/>
  <c r="B59" i="9"/>
  <c r="C59" i="9"/>
  <c r="D59" i="9"/>
  <c r="B60" i="9"/>
  <c r="C60" i="9"/>
  <c r="D60" i="9"/>
  <c r="B61" i="9"/>
  <c r="C61" i="9"/>
  <c r="D61" i="9"/>
  <c r="E14" i="11"/>
  <c r="E16" i="11"/>
  <c r="D15" i="11"/>
  <c r="C28" i="4"/>
  <c r="C34" i="4"/>
  <c r="C68" i="4"/>
  <c r="C33" i="4"/>
  <c r="C73" i="4"/>
  <c r="C71" i="4"/>
  <c r="C67" i="4"/>
  <c r="E39" i="9"/>
  <c r="C53" i="4"/>
  <c r="I53" i="4"/>
  <c r="A42" i="9" s="1"/>
  <c r="C46" i="4"/>
  <c r="I46" i="4"/>
  <c r="A35" i="9" s="1"/>
  <c r="I51" i="4"/>
  <c r="A40" i="9" s="1"/>
  <c r="C17" i="4"/>
  <c r="N43" i="9"/>
  <c r="N38" i="9"/>
  <c r="N39" i="9" s="1"/>
  <c r="N41" i="9" s="1"/>
  <c r="N32" i="9"/>
  <c r="F31" i="9"/>
  <c r="F32" i="9" s="1"/>
  <c r="E31" i="9"/>
  <c r="F43" i="9"/>
  <c r="F38" i="9"/>
  <c r="F39" i="9" s="1"/>
  <c r="F41" i="9"/>
  <c r="I73" i="4"/>
  <c r="A61" i="9" s="1"/>
  <c r="I72" i="4"/>
  <c r="A60" i="9" s="1"/>
  <c r="I71" i="4"/>
  <c r="A59" i="9" s="1"/>
  <c r="I69" i="4"/>
  <c r="A57" i="9" s="1"/>
  <c r="I67" i="4"/>
  <c r="A55" i="9" s="1"/>
  <c r="I66" i="4"/>
  <c r="A54" i="9" s="1"/>
  <c r="I57" i="4"/>
  <c r="A45" i="9" s="1"/>
  <c r="I55" i="4"/>
  <c r="A44" i="9" s="1"/>
  <c r="I54" i="4"/>
  <c r="A43" i="9" s="1"/>
  <c r="I50" i="4"/>
  <c r="A39" i="9" s="1"/>
  <c r="I49" i="4"/>
  <c r="A38" i="9" s="1"/>
  <c r="I48" i="4"/>
  <c r="A37" i="9" s="1"/>
  <c r="I47" i="4"/>
  <c r="A36" i="9" s="1"/>
  <c r="I45" i="4"/>
  <c r="A34" i="9" s="1"/>
  <c r="I43" i="4"/>
  <c r="A33" i="9" s="1"/>
  <c r="I41" i="4"/>
  <c r="A32" i="9" s="1"/>
  <c r="I40" i="4"/>
  <c r="A31" i="9" s="1"/>
  <c r="I36" i="4"/>
  <c r="A28" i="9" s="1"/>
  <c r="I38" i="4"/>
  <c r="A30" i="9" s="1"/>
  <c r="I37" i="4"/>
  <c r="A29" i="9" s="1"/>
  <c r="I35" i="4"/>
  <c r="A27" i="9" s="1"/>
  <c r="I34" i="4"/>
  <c r="A26" i="9" s="1"/>
  <c r="I33" i="4"/>
  <c r="A25" i="9" s="1"/>
  <c r="I31" i="4"/>
  <c r="A24" i="9" s="1"/>
  <c r="I29" i="4"/>
  <c r="A23" i="9" s="1"/>
  <c r="I27" i="4"/>
  <c r="A21" i="9" s="1"/>
  <c r="I26" i="4"/>
  <c r="A20" i="9" s="1"/>
  <c r="I25" i="4"/>
  <c r="A19" i="9" s="1"/>
  <c r="I22" i="4"/>
  <c r="A18" i="9" s="1"/>
  <c r="I21" i="4"/>
  <c r="A17" i="9" s="1"/>
  <c r="I19" i="4"/>
  <c r="A16" i="9" s="1"/>
  <c r="I17" i="4"/>
  <c r="A15" i="9" s="1"/>
  <c r="I16" i="4"/>
  <c r="A14" i="9" s="1"/>
  <c r="I15" i="4"/>
  <c r="A13" i="9" s="1"/>
  <c r="D13" i="9"/>
  <c r="C13" i="9"/>
  <c r="F2" i="4"/>
  <c r="B13" i="9"/>
  <c r="C35" i="4"/>
  <c r="C72" i="4"/>
  <c r="C70" i="4"/>
  <c r="C69" i="4"/>
  <c r="C66" i="4"/>
  <c r="C65" i="4"/>
  <c r="C64" i="4"/>
  <c r="C63" i="4"/>
  <c r="C62" i="4"/>
  <c r="C61" i="4"/>
  <c r="C60" i="4"/>
  <c r="C58" i="4"/>
  <c r="C57" i="4"/>
  <c r="C55" i="4"/>
  <c r="C54" i="4"/>
  <c r="C52" i="4"/>
  <c r="C51" i="4"/>
  <c r="C50" i="4"/>
  <c r="C49" i="4"/>
  <c r="C48" i="4"/>
  <c r="C47" i="4"/>
  <c r="C45" i="4"/>
  <c r="C43" i="4"/>
  <c r="C40" i="4"/>
  <c r="C38" i="4"/>
  <c r="C37" i="4"/>
  <c r="C31" i="4"/>
  <c r="C29" i="4"/>
  <c r="C27" i="4"/>
  <c r="C25" i="4"/>
  <c r="C22" i="4"/>
  <c r="C21" i="4"/>
  <c r="C16" i="4"/>
  <c r="C15" i="4"/>
  <c r="E38" i="9" l="1"/>
  <c r="E42" i="9" s="1"/>
  <c r="E40"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tc={C08DB958-1F6C-489F-A159-FD95BF0C9CF7}</author>
    <author>tc={F6EB6D2D-27E4-4058-8CAA-78769F5AAB8A}</author>
    <author>tc={E8CA47C8-5710-4A9D-AE20-2B41F3E83A18}</author>
    <author>tc={C6552EC6-4663-43FF-BA6C-F736B350FB13}</author>
    <author>tc={69B3644C-4410-4DBB-B6BB-1C9D2306B9AD}</author>
    <author>tc={3D98BB16-B87C-4A28-B190-6853D83C9408}</author>
    <author>tc={0F0B2490-6D92-4075-BD70-94B183B0D4F7}</author>
  </authors>
  <commentList>
    <comment ref="A4" authorId="0" shapeId="0" xr:uid="{C08DB958-1F6C-489F-A159-FD95BF0C9CF7}">
      <text>
        <t>[Threaded comment]
Your version of Excel allows you to read this threaded comment; however, any edits to it will get removed if the file is opened in a newer version of Excel. Learn more: https://go.microsoft.com/fwlink/?linkid=870924
Comment:
    Ask the RC President to share this data with us.</t>
      </text>
    </comment>
    <comment ref="A5" authorId="1" shapeId="0" xr:uid="{F6EB6D2D-27E4-4058-8CAA-78769F5AAB8A}">
      <text>
        <t>[Threaded comment]
Your version of Excel allows you to read this threaded comment; however, any edits to it will get removed if the file is opened in a newer version of Excel. Learn more: https://go.microsoft.com/fwlink/?linkid=870924
Comment:
    Ask the RC President to share this data with us.</t>
      </text>
    </comment>
    <comment ref="A6" authorId="2" shapeId="0" xr:uid="{E8CA47C8-5710-4A9D-AE20-2B41F3E83A18}">
      <text>
        <t>[Threaded comment]
Your version of Excel allows you to read this threaded comment; however, any edits to it will get removed if the file is opened in a newer version of Excel. Learn more: https://go.microsoft.com/fwlink/?linkid=870924
Comment:
    Ask the RC President to share this data with us.</t>
      </text>
    </comment>
    <comment ref="A7" authorId="3" shapeId="0" xr:uid="{C6552EC6-4663-43FF-BA6C-F736B350FB13}">
      <text>
        <t>[Threaded comment]
Your version of Excel allows you to read this threaded comment; however, any edits to it will get removed if the file is opened in a newer version of Excel. Learn more: https://go.microsoft.com/fwlink/?linkid=870924
Comment:
    Get regular (quarterly) reports from the Mayors on progress toward the implementation of the CAP.</t>
      </text>
    </comment>
    <comment ref="A9" authorId="4" shapeId="0" xr:uid="{69B3644C-4410-4DBB-B6BB-1C9D2306B9AD}">
      <text>
        <t>[Threaded comment]
Your version of Excel allows you to read this threaded comment; however, any edits to it will get removed if the file is opened in a newer version of Excel. Learn more: https://go.microsoft.com/fwlink/?linkid=870924
Comment:
    Get regular (quarterly) reports from the Mayors on progress towards this indicator.
Reply:
    Alex will create a form and train the Mayors on using it.</t>
      </text>
    </comment>
    <comment ref="F13" authorId="5" shapeId="0" xr:uid="{3D98BB16-B87C-4A28-B190-6853D83C9408}">
      <text>
        <t xml:space="preserve">[Threaded comment]
Your version of Excel allows you to read this threaded comment; however, any edits to it will get removed if the file is opened in a newer version of Excel. Learn more: https://go.microsoft.com/fwlink/?linkid=870924
Comment:
    I believe it's important to measure this indicator to foster Service Providers' responsiveness. </t>
      </text>
    </comment>
    <comment ref="F14" authorId="6" shapeId="0" xr:uid="{0F0B2490-6D92-4075-BD70-94B183B0D4F7}">
      <text>
        <t xml:space="preserve">[Threaded comment]
Your version of Excel allows you to read this threaded comment; however, any edits to it will get removed if the file is opened in a newer version of Excel. Learn more: https://go.microsoft.com/fwlink/?linkid=870924
Comment:
    I believe it's important to measure this indicator to foster Service Providers' responsiveness.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tc={F529A6AE-6E32-4A62-A0A0-D87FD735B088}</author>
    <author>tc={E25B4818-9B0A-4687-B47C-C2F460574933}</author>
    <author>tc={CDCE9096-3C32-4AC6-9A3C-C7498D804B73}</author>
    <author>tc={6DD68252-5D27-499A-8E34-E4E881785FB1}</author>
    <author>tc={52DAC638-A0DC-4B37-B6DF-F30E2A1B90BA}</author>
    <author>tc={BB240031-68DB-45AB-876D-2476977BFCD6}</author>
    <author>tc={0912926B-81E0-4AD1-B0FC-A5E7760F71D1}</author>
    <author>tc={20CC48F4-DB96-4CE1-93F6-0490EE4D560A}</author>
    <author>tc={FD8D5EEE-D211-4312-B119-B3F74808678D}</author>
    <author>tc={9F613657-4B2F-4AA5-AE06-C3E1141F2B1A}</author>
    <author>tc={FD802DAD-D3E8-4D1A-A7A2-149B17068062}</author>
    <author>tc={D7E0261A-5E36-4C6B-8A3D-7A6E51D53802}</author>
    <author>tc={C6B7E31D-B805-454E-A046-30596B0E88C0}</author>
    <author>tc={CAC3D02E-BEEB-44C6-9704-F5576551EF92}</author>
    <author>tc={53B1BEE8-9D36-47E3-9C5C-AC24A7B7E942}</author>
    <author>tc={654BFD3D-67CA-4549-AB28-63583275ADF2}</author>
    <author>tc={A227B25C-2BFE-4326-9110-19A9EA834AFB}</author>
    <author>tc={47A6AB19-66F6-4A81-A304-C8585F022175}</author>
    <author>tc={73E2205E-FFE8-4A87-92DC-FFF9AD903E19}</author>
    <author>tc={83109983-12FE-4477-8F16-C8D68B63936A}</author>
    <author>tc={1B4112E8-D469-4F86-8926-97A18DFF59C7}</author>
  </authors>
  <commentList>
    <comment ref="D11" authorId="0" shapeId="0" xr:uid="{F529A6AE-6E32-4A62-A0A0-D87FD735B088}">
      <text>
        <t>[Threaded comment]
Your version of Excel allows you to read this threaded comment; however, any edits to it will get removed if the file is opened in a newer version of Excel. Learn more: https://go.microsoft.com/fwlink/?linkid=870924
Comment:
    Uniquely identifies each Indicator. The numerical part specifies the objective that it is measuring, and the alphabetical part allows there to be multiple indicators for a single objective.</t>
      </text>
    </comment>
    <comment ref="F11" authorId="1" shapeId="0" xr:uid="{E25B4818-9B0A-4687-B47C-C2F460574933}">
      <text>
        <t>[Threaded comment]
Your version of Excel allows you to read this threaded comment; however, any edits to it will get removed if the file is opened in a newer version of Excel. Learn more: https://go.microsoft.com/fwlink/?linkid=870924
Comment:
    This column contains definitions of any key terms in the description.</t>
      </text>
    </comment>
    <comment ref="G11" authorId="2" shapeId="0" xr:uid="{CDCE9096-3C32-4AC6-9A3C-C7498D804B73}">
      <text>
        <t>[Threaded comment]
Your version of Excel allows you to read this threaded comment; however, any edits to it will get removed if the file is opened in a newer version of Excel. Learn more: https://go.microsoft.com/fwlink/?linkid=870924
Comment:
    The unit used to provide context to the indicator value. For indicators measured as a percent, the Units specifies the denominator of the percent calculation e.g. % of intervention water points = (numerical indicator value)/(number of intervention water points)</t>
      </text>
    </comment>
    <comment ref="H11" authorId="3" shapeId="0" xr:uid="{6DD68252-5D27-499A-8E34-E4E881785FB1}">
      <text>
        <t xml:space="preserve">[Threaded comment]
Your version of Excel allows you to read this threaded comment; however, any edits to it will get removed if the file is opened in a newer version of Excel. Learn more: https://go.microsoft.com/fwlink/?linkid=870924
Comment:
    In service: The data form has already been created and used previously. 
Needs mods: Some modification to the current data form may be necessary.
Needs training: All of the appropriate stakeholders have not been trained on its usage.
</t>
      </text>
    </comment>
    <comment ref="J11" authorId="4" shapeId="0" xr:uid="{52DAC638-A0DC-4B37-B6DF-F30E2A1B90BA}">
      <text>
        <t>[Threaded comment]
Your version of Excel allows you to read this threaded comment; however, any edits to it will get removed if the file is opened in a newer version of Excel. Learn more: https://go.microsoft.com/fwlink/?linkid=870924
Comment:
    These are the factors by which an indicator can be grouped (aggregation) or split into (disaggregation).</t>
      </text>
    </comment>
    <comment ref="R11" authorId="5" shapeId="0" xr:uid="{BB240031-68DB-45AB-876D-2476977BFCD6}">
      <text>
        <t>[Threaded comment]
Your version of Excel allows you to read this threaded comment; however, any edits to it will get removed if the file is opened in a newer version of Excel. Learn more: https://go.microsoft.com/fwlink/?linkid=870924
Comment:
    The symbol "-", indicators that no new data collection is needed to validate this information.</t>
      </text>
    </comment>
    <comment ref="D14" authorId="6" shapeId="0" xr:uid="{0912926B-81E0-4AD1-B0FC-A5E7760F71D1}">
      <text>
        <t>[Threaded comment]
Your version of Excel allows you to read this threaded comment; however, any edits to it will get removed if the file is opened in a newer version of Excel. Learn more: https://go.microsoft.com/fwlink/?linkid=870924
Comment:
    Ask the RC President to share this data with us.</t>
      </text>
    </comment>
    <comment ref="D15" authorId="7" shapeId="0" xr:uid="{20CC48F4-DB96-4CE1-93F6-0490EE4D560A}">
      <text>
        <t>[Threaded comment]
Your version of Excel allows you to read this threaded comment; however, any edits to it will get removed if the file is opened in a newer version of Excel. Learn more: https://go.microsoft.com/fwlink/?linkid=870924
Comment:
    Ask the RC President to share this data with us.</t>
      </text>
    </comment>
    <comment ref="D16" authorId="8" shapeId="0" xr:uid="{FD8D5EEE-D211-4312-B119-B3F74808678D}">
      <text>
        <t>[Threaded comment]
Your version of Excel allows you to read this threaded comment; however, any edits to it will get removed if the file is opened in a newer version of Excel. Learn more: https://go.microsoft.com/fwlink/?linkid=870924
Comment:
    Ask the RC President to share this data with us.</t>
      </text>
    </comment>
    <comment ref="D17" authorId="9" shapeId="0" xr:uid="{9F613657-4B2F-4AA5-AE06-C3E1141F2B1A}">
      <text>
        <t>[Threaded comment]
Your version of Excel allows you to read this threaded comment; however, any edits to it will get removed if the file is opened in a newer version of Excel. Learn more: https://go.microsoft.com/fwlink/?linkid=870924
Comment:
    Get regular (quarterly) reports from the Mayors on progress toward the implementation of the CAP.</t>
      </text>
    </comment>
    <comment ref="E17" authorId="10" shapeId="0" xr:uid="{FD802DAD-D3E8-4D1A-A7A2-149B17068062}">
      <text>
        <t>[Threaded comment]
Your version of Excel allows you to read this threaded comment; however, any edits to it will get removed if the file is opened in a newer version of Excel. Learn more: https://go.microsoft.com/fwlink/?linkid=870924
Comment:
    We replaced "implemented activities" with "approved interventions" to emphasize the fact that here we cannot talk about activities but interventions since in the CAP, intervention is used to described the different WASH products that need to be delivered at the commune level. "Approved" means that  the interventions on which HANWASH or partners are working on should be assigned by local authorities to reinforce local leadership.</t>
      </text>
    </comment>
    <comment ref="D19" authorId="11" shapeId="0" xr:uid="{D7E0261A-5E36-4C6B-8A3D-7A6E51D53802}">
      <text>
        <t>[Threaded comment]
Your version of Excel allows you to read this threaded comment; however, any edits to it will get removed if the file is opened in a newer version of Excel. Learn more: https://go.microsoft.com/fwlink/?linkid=870924
Comment:
    Get regular (quarterly) reports from the Mayors on progress towards this indicator.
Reply:
    Alex will create a form and train the Mayors on using it.</t>
      </text>
    </comment>
    <comment ref="E20" authorId="12" shapeId="0" xr:uid="{C6B7E31D-B805-454E-A046-30596B0E88C0}">
      <text>
        <t>[Threaded comment]
Your version of Excel allows you to read this threaded comment; however, any edits to it will get removed if the file is opened in a newer version of Excel. Learn more: https://go.microsoft.com/fwlink/?linkid=870924
Comment:
    For more specificity, we added "...under HANWASH initiative…"</t>
      </text>
    </comment>
    <comment ref="F23" authorId="13" shapeId="0" xr:uid="{CAC3D02E-BEEB-44C6-9704-F5576551EF92}">
      <text>
        <t xml:space="preserve">[Threaded comment]
Your version of Excel allows you to read this threaded comment; however, any edits to it will get removed if the file is opened in a newer version of Excel. Learn more: https://go.microsoft.com/fwlink/?linkid=870924
Comment:
    I believe it's important to measure this indicator to foster Service Providers' responsiveness. </t>
      </text>
    </comment>
    <comment ref="F24" authorId="14" shapeId="0" xr:uid="{53B1BEE8-9D36-47E3-9C5C-AC24A7B7E942}">
      <text>
        <t xml:space="preserve">[Threaded comment]
Your version of Excel allows you to read this threaded comment; however, any edits to it will get removed if the file is opened in a newer version of Excel. Learn more: https://go.microsoft.com/fwlink/?linkid=870924
Comment:
    I believe it's important to measure this indicator to foster Service Providers' responsiveness. </t>
      </text>
    </comment>
    <comment ref="E31" authorId="15" shapeId="0" xr:uid="{654BFD3D-67CA-4549-AB28-63583275ADF2}">
      <text>
        <t>[Threaded comment]
Your version of Excel allows you to read this threaded comment; however, any edits to it will get removed if the file is opened in a newer version of Excel. Learn more: https://go.microsoft.com/fwlink/?linkid=870924
Comment:
    Added “or a budget with surplus” to make the indicator capture the whole picture.</t>
      </text>
    </comment>
    <comment ref="E32" authorId="16" shapeId="0" xr:uid="{A227B25C-2BFE-4326-9110-19A9EA834AFB}">
      <text>
        <t xml:space="preserve">[Threaded comment]
Your version of Excel allows you to read this threaded comment; however, any edits to it will get removed if the file is opened in a newer version of Excel. Learn more: https://go.microsoft.com/fwlink/?linkid=870924
Comment:
    For more specificity in the indicator wording, I would suggest: "# of people in intervention communes with access to basic drinking water service through community managed water points" </t>
      </text>
    </comment>
    <comment ref="E33" authorId="17" shapeId="0" xr:uid="{47A6AB19-66F6-4A81-A304-C8585F022175}">
      <text>
        <t xml:space="preserve">[Threaded comment]
Your version of Excel allows you to read this threaded comment; however, any edits to it will get removed if the file is opened in a newer version of Excel. Learn more: https://go.microsoft.com/fwlink/?linkid=870924
Comment:
    For more specificity in the indicator wording, I would suggest: "# of people in intervention communes with access to safely managed drinking water service through professionally operated piped water systems" </t>
      </text>
    </comment>
    <comment ref="E37" authorId="18" shapeId="0" xr:uid="{73E2205E-FFE8-4A87-92DC-FFF9AD903E19}">
      <text>
        <t xml:space="preserve">[Threaded comment]
Your version of Excel allows you to read this threaded comment; however, any edits to it will get removed if the file is opened in a newer version of Excel. Learn more: https://go.microsoft.com/fwlink/?linkid=870924
Comment:
     added "...in the intervention communities" for more specificity. </t>
      </text>
    </comment>
    <comment ref="E39" authorId="19" shapeId="0" xr:uid="{83109983-12FE-4477-8F16-C8D68B63936A}">
      <text>
        <t>[Threaded comment]
Your version of Excel allows you to read this threaded comment; however, any edits to it will get removed if the file is opened in a newer version of Excel. Learn more: https://go.microsoft.com/fwlink/?linkid=870924
Comment:
    I replaced "people" by "population"</t>
      </text>
    </comment>
    <comment ref="C43" authorId="20" shapeId="0" xr:uid="{1B4112E8-D469-4F86-8926-97A18DFF59C7}">
      <text>
        <t>[Threaded comment]
Your version of Excel allows you to read this threaded comment; however, any edits to it will get removed if the file is opened in a newer version of Excel. Learn more: https://go.microsoft.com/fwlink/?linkid=870924
Comment:
    Who will fund those public Water infrastructures? Which management structures can be established to make those public (schools and healthcare facilities) Water infrastructures sustainable? Is it realistic to say that the Households will pay a surplus fee to cover operational cost for schools and Healthcare facilities water infrastructures?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tc={B2E475DF-C36A-4A85-837F-F8FF5AB60869}</author>
    <author>tc={987FFBF6-C617-4F12-9BBF-FF35BEA213F6}</author>
    <author>tc={7E14A926-16DF-4FC5-9910-A35FD43FC6F8}</author>
    <author>tc={5D4BB958-875F-42AD-9A2E-940E4CCD0BE6}</author>
    <author>tc={CEF76ABD-44CD-4FA3-BD26-62146A303527}</author>
    <author>tc={5A79EB18-6BF6-4352-8EC1-F4ADD66C1D31}</author>
    <author>tc={86C952B3-D3FC-8149-AA9C-C13A820AD296}</author>
    <author>tc={34CB827F-F8E8-4DD0-86E2-A7DA7A6CC1EF}</author>
    <author>tc={D1FDF359-3B7D-49E8-8578-D35740DE73CF}</author>
    <author>tc={F0AD05F4-DD40-4853-9CED-45F01250A228}</author>
    <author>tc={69B11551-AA0F-4BE6-865F-815D10A1E62B}</author>
    <author>tc={BD5BBAB0-BF16-46CF-BA6A-F2567D36C3D2}</author>
    <author>tc={FE71002E-CDF4-4719-8171-12965BD4ECB4}</author>
    <author>tc={63785882-445D-49A9-AED0-37764760B6EC}</author>
    <author>tc={13816A36-5ECB-429A-9CB3-52443A9A5931}</author>
    <author>tc={353D8DB7-7E18-4BED-8364-77241285F5C0}</author>
    <author>tc={A9A383F8-0BF9-4BA0-ABCE-9B918F93CD8F}</author>
    <author>tc={5B2886C1-180D-441A-BC63-FF134239F1EA}</author>
    <author>tc={37C2145F-4DEF-4575-8DFC-1EB5ADF5D029}</author>
    <author>tc={F7FEEF52-8898-4C18-8B21-9F810127E502}</author>
    <author>tc={0DDB24FF-041A-460D-A784-D62C675EFE95}</author>
    <author>tc={5F10EC84-BA7A-4FAF-9F4F-FF549E3D340A}</author>
    <author>tc={BF51C403-E360-4534-A32D-38290E6A0A82}</author>
    <author>tc={D8B7934A-3026-4E5A-A812-180F90C19443}</author>
    <author>tc={1E5505A4-100E-4E2F-9297-D6E48CA2DDD1}</author>
    <author>tc={6CF26BFD-F919-4B6C-A5BC-2C659D5891EB}</author>
    <author>tc={8BF6E5A9-4FBA-44EC-87B1-75A81A87CAC6}</author>
    <author>tc={9D6BDB77-D995-46CA-9B3E-64E744707628}</author>
    <author>tc={4276713D-6E62-4F19-AE35-1FD6A3D5B8D8}</author>
    <author>tc={1B8A98BA-F530-4AFE-BF02-A9C6E558E8BB}</author>
  </authors>
  <commentList>
    <comment ref="D14" authorId="0" shapeId="0" xr:uid="{B2E475DF-C36A-4A85-837F-F8FF5AB60869}">
      <text>
        <t>[Threaded comment]
Your version of Excel allows you to read this threaded comment; however, any edits to it will get removed if the file is opened in a newer version of Excel. Learn more: https://go.microsoft.com/fwlink/?linkid=870924
Comment:
    Uniquely identifies each Indicator. The numerical part specifies the objective that it is measuring, and the alphabetical part allows there to be multiple indicators for a single objective.</t>
      </text>
    </comment>
    <comment ref="F14" authorId="1" shapeId="0" xr:uid="{987FFBF6-C617-4F12-9BBF-FF35BEA213F6}">
      <text>
        <t>[Threaded comment]
Your version of Excel allows you to read this threaded comment; however, any edits to it will get removed if the file is opened in a newer version of Excel. Learn more: https://go.microsoft.com/fwlink/?linkid=870924
Comment:
    This column contains definitions of any key terms in the description.</t>
      </text>
    </comment>
    <comment ref="G14" authorId="2" shapeId="0" xr:uid="{7E14A926-16DF-4FC5-9910-A35FD43FC6F8}">
      <text>
        <t>[Threaded comment]
Your version of Excel allows you to read this threaded comment; however, any edits to it will get removed if the file is opened in a newer version of Excel. Learn more: https://go.microsoft.com/fwlink/?linkid=870924
Comment:
    The unit used to provide context to the indicator value. For indicators measured as a percent, the Units specifies the denominator of the percent calculation e.g. % of intervention water points = (numerical indicator value)/(number of intervention water points)</t>
      </text>
    </comment>
    <comment ref="H14" authorId="3" shapeId="0" xr:uid="{5D4BB958-875F-42AD-9A2E-940E4CCD0BE6}">
      <text>
        <t xml:space="preserve">[Threaded comment]
Your version of Excel allows you to read this threaded comment; however, any edits to it will get removed if the file is opened in a newer version of Excel. Learn more: https://go.microsoft.com/fwlink/?linkid=870924
Comment:
    In service: The data form has already been created and used previously. 
Needs mods: Some modification to the current data form may be necessary.
Needs training: All of the appropriate stakeholders have not been trained on its usage.
</t>
      </text>
    </comment>
    <comment ref="J14" authorId="4" shapeId="0" xr:uid="{CEF76ABD-44CD-4FA3-BD26-62146A303527}">
      <text>
        <t>[Threaded comment]
Your version of Excel allows you to read this threaded comment; however, any edits to it will get removed if the file is opened in a newer version of Excel. Learn more: https://go.microsoft.com/fwlink/?linkid=870924
Comment:
    These are the factors by which an indicator can be grouped (aggregation) or split into (disaggregation).</t>
      </text>
    </comment>
    <comment ref="R14" authorId="5" shapeId="0" xr:uid="{5A79EB18-6BF6-4352-8EC1-F4ADD66C1D31}">
      <text>
        <t>[Threaded comment]
Your version of Excel allows you to read this threaded comment; however, any edits to it will get removed if the file is opened in a newer version of Excel. Learn more: https://go.microsoft.com/fwlink/?linkid=870924
Comment:
    The symbol "-", indicators that no new data collection is needed to validate this information.</t>
      </text>
    </comment>
    <comment ref="E17" authorId="6" shapeId="0" xr:uid="{86C952B3-D3FC-8149-AA9C-C13A820AD296}">
      <text>
        <t xml:space="preserve">[Threaded comment]
Your version of Excel allows you to read this threaded comment; however, any edits to it will get removed if the file is opened in a newer version of Excel. Learn more: https://go.microsoft.com/fwlink/?linkid=870924
Comment:
    "Rotarian" includes:
-Ambassador club members (within Haiti)
-Champion club members (outside of Haiti)
-HANWASH staff and volunteers
M&amp;E team, is this correct?
Reply:
    "Rotarian" includes:
-Ambassador and Rotary Club members (within Haiti)
-Champion club members (outside of Haiti)
-HANWASH Subcommittee members
-HANWASH Steering Committee members
</t>
      </text>
    </comment>
    <comment ref="E18" authorId="7" shapeId="0" xr:uid="{34CB827F-F8E8-4DD0-86E2-A7DA7A6CC1EF}">
      <text>
        <t xml:space="preserve">[Threaded comment]
Your version of Excel allows you to read this threaded comment; however, any edits to it will get removed if the file is opened in a newer version of Excel. Learn more: https://go.microsoft.com/fwlink/?linkid=870924
Comment:
    "Rotarian" includes:
-Ambassador club members (within Haiti)
-Champion club members (outside of Haiti)
-HANWASH staff and volunteers
M&amp;E team, is this correct?
Reply:
    Set as row 14
Reply:
    I think this indicator is relevant since it assess, not only the participation but the extent to which Rotarians take the leadership of WASH events. </t>
      </text>
    </comment>
    <comment ref="E20" authorId="8" shapeId="0" xr:uid="{D1FDF359-3B7D-49E8-8578-D35740DE73CF}">
      <text>
        <t>[Threaded comment]
Your version of Excel allows you to read this threaded comment; however, any edits to it will get removed if the file is opened in a newer version of Excel. Learn more: https://go.microsoft.com/fwlink/?linkid=870924
Comment:
    I think it's important to track the number of people reached by Rotarians in the commune events led by them. This can give us insights on the intensity of the advocacy efforts.</t>
      </text>
    </comment>
    <comment ref="E25" authorId="9" shapeId="0" xr:uid="{F0AD05F4-DD40-4853-9CED-45F01250A228}">
      <text>
        <t>[Threaded comment]
Your version of Excel allows you to read this threaded comment; however, any edits to it will get removed if the file is opened in a newer version of Excel. Learn more: https://go.microsoft.com/fwlink/?linkid=870924
Comment:
    We replaced "implemented activities" with "approved interventions" to emphasize the fact that here we cannot talk about activities but interventions since in the CAP, intervention is used to described the different WASH products that need to be delivered at the commune level. "Approved" means that  the interventions on which HANWASH or partners are working on should be assigned by local authorities to reinforce local leadership.</t>
      </text>
    </comment>
    <comment ref="E28" authorId="10" shapeId="0" xr:uid="{69B11551-AA0F-4BE6-865F-815D10A1E62B}">
      <text>
        <t>[Threaded comment]
Your version of Excel allows you to read this threaded comment; however, any edits to it will get removed if the file is opened in a newer version of Excel. Learn more: https://go.microsoft.com/fwlink/?linkid=870924
Comment:
    For more specificity, we added "...under HANWASH initiative…"</t>
      </text>
    </comment>
    <comment ref="F33" authorId="11" shapeId="0" xr:uid="{BD5BBAB0-BF16-46CF-BA6A-F2567D36C3D2}">
      <text>
        <t xml:space="preserve">[Threaded comment]
Your version of Excel allows you to read this threaded comment; however, any edits to it will get removed if the file is opened in a newer version of Excel. Learn more: https://go.microsoft.com/fwlink/?linkid=870924
Comment:
    I believe it's important to measure this indicator to foster Service Providers' responsiveness. </t>
      </text>
    </comment>
    <comment ref="E36" authorId="12" shapeId="0" xr:uid="{FE71002E-CDF4-4719-8171-12965BD4ECB4}">
      <text>
        <t>[Threaded comment]
Your version of Excel allows you to read this threaded comment; however, any edits to it will get removed if the file is opened in a newer version of Excel. Learn more: https://go.microsoft.com/fwlink/?linkid=870924
Comment:
    Do we need to have this only after 2 yrs?</t>
      </text>
    </comment>
    <comment ref="E39" authorId="13" shapeId="0" xr:uid="{63785882-445D-49A9-AED0-37764760B6EC}">
      <text>
        <t>[Threaded comment]
Your version of Excel allows you to read this threaded comment; however, any edits to it will get removed if the file is opened in a newer version of Excel. Learn more: https://go.microsoft.com/fwlink/?linkid=870924
Comment:
    Added “or a budget with surplus” to make the indicator capture the whole picture.</t>
      </text>
    </comment>
    <comment ref="E40" authorId="14" shapeId="0" xr:uid="{13816A36-5ECB-429A-9CB3-52443A9A5931}">
      <text>
        <t xml:space="preserve">[Threaded comment]
Your version of Excel allows you to read this threaded comment; however, any edits to it will get removed if the file is opened in a newer version of Excel. Learn more: https://go.microsoft.com/fwlink/?linkid=870924
Comment:
    For more specificity in the indicator wording, I would suggest: "# of people in intervention communes with access to basic drinking water service through community managed water points" </t>
      </text>
    </comment>
    <comment ref="K42" authorId="15" shapeId="0" xr:uid="{353D8DB7-7E18-4BED-8364-77241285F5C0}">
      <text>
        <t>[Threaded comment]
Your version of Excel allows you to read this threaded comment; however, any edits to it will get removed if the file is opened in a newer version of Excel. Learn more: https://go.microsoft.com/fwlink/?linkid=870924
Comment:
    We need to check if the Implementation Event Tracking form is suitable to register the CPE monthly reports. Otherwise, we'll need to create a specific form for those reports.</t>
      </text>
    </comment>
    <comment ref="E43" authorId="16" shapeId="0" xr:uid="{A9A383F8-0BF9-4BA0-ABCE-9B918F93CD8F}">
      <text>
        <t xml:space="preserve">[Threaded comment]
Your version of Excel allows you to read this threaded comment; however, any edits to it will get removed if the file is opened in a newer version of Excel. Learn more: https://go.microsoft.com/fwlink/?linkid=870924
Comment:
    For more specificity in the indicator wording, I would suggest: "# of people in intervention communes with access to safely managed drinking water service through professionally operated piped water systems" </t>
      </text>
    </comment>
    <comment ref="E45" authorId="17" shapeId="0" xr:uid="{5B2886C1-180D-441A-BC63-FF134239F1EA}">
      <text>
        <t xml:space="preserve">[Threaded comment]
Your version of Excel allows you to read this threaded comment; however, any edits to it will get removed if the file is opened in a newer version of Excel. Learn more: https://go.microsoft.com/fwlink/?linkid=870924
Comment:
    I added "...in the intervention communes" for more specificity. </t>
      </text>
    </comment>
    <comment ref="E49" authorId="18" shapeId="0" xr:uid="{37C2145F-4DEF-4575-8DFC-1EB5ADF5D029}">
      <text>
        <t xml:space="preserve">[Threaded comment]
Your version of Excel allows you to read this threaded comment; however, any edits to it will get removed if the file is opened in a newer version of Excel. Learn more: https://go.microsoft.com/fwlink/?linkid=870924
Comment:
     added "...in the intervention communities" for more specificity. </t>
      </text>
    </comment>
    <comment ref="E50" authorId="19" shapeId="0" xr:uid="{F7FEEF52-8898-4C18-8B21-9F810127E502}">
      <text>
        <t xml:space="preserve">[Threaded comment]
Your version of Excel allows you to read this threaded comment; however, any edits to it will get removed if the file is opened in a newer version of Excel. Learn more: https://go.microsoft.com/fwlink/?linkid=870924
Comment:
    It would be less time consuming and more manageable to assess this for the communal sections. There are too many villages in the communes. </t>
      </text>
    </comment>
    <comment ref="E53" authorId="20" shapeId="0" xr:uid="{0DDB24FF-041A-460D-A784-D62C675EFE95}">
      <text>
        <t>[Threaded comment]
Your version of Excel allows you to read this threaded comment; however, any edits to it will get removed if the file is opened in a newer version of Excel. Learn more: https://go.microsoft.com/fwlink/?linkid=870924
Comment:
    I replaced "people" by "population"</t>
      </text>
    </comment>
    <comment ref="E60" authorId="21" shapeId="0" xr:uid="{5F10EC84-BA7A-4FAF-9F4F-FF549E3D340A}">
      <text>
        <t>[Threaded comment]
Your version of Excel allows you to read this threaded comment; however, any edits to it will get removed if the file is opened in a newer version of Excel. Learn more: https://go.microsoft.com/fwlink/?linkid=870924
Comment:
    To make the indicator SMARTer, I would suggest this wording instead: "# of schools provided with access to basic drinking water services in the intervention communes"</t>
      </text>
    </comment>
    <comment ref="E61" authorId="22" shapeId="0" xr:uid="{BF51C403-E360-4534-A32D-38290E6A0A82}">
      <text>
        <t>[Threaded comment]
Your version of Excel allows you to read this threaded comment; however, any edits to it will get removed if the file is opened in a newer version of Excel. Learn more: https://go.microsoft.com/fwlink/?linkid=870924
Comment:
    To make the indicator SMARTer, I would suggest this wording instead: "# of healthcare facilities provided with access to basic drinking water services in the intervention communes"</t>
      </text>
    </comment>
    <comment ref="E62" authorId="23" shapeId="0" xr:uid="{D8B7934A-3026-4E5A-A812-180F90C19443}">
      <text>
        <t>[Threaded comment]
Your version of Excel allows you to read this threaded comment; however, any edits to it will get removed if the file is opened in a newer version of Excel. Learn more: https://go.microsoft.com/fwlink/?linkid=870924
Comment:
    To make the indicator SMARTer, I would suggest this wording instead: "# of schools provided with access to basic sanitation services in the intervention communes"</t>
      </text>
    </comment>
    <comment ref="E63" authorId="24" shapeId="0" xr:uid="{1E5505A4-100E-4E2F-9297-D6E48CA2DDD1}">
      <text>
        <t>[Threaded comment]
Your version of Excel allows you to read this threaded comment; however, any edits to it will get removed if the file is opened in a newer version of Excel. Learn more: https://go.microsoft.com/fwlink/?linkid=870924
Comment:
    To make the indicator SMARTer, I would suggest this wording instead: "# of healthcare facilities provided with access to basic sanitation services in the intervention communes"</t>
      </text>
    </comment>
    <comment ref="E64" authorId="25" shapeId="0" xr:uid="{6CF26BFD-F919-4B6C-A5BC-2C659D5891EB}">
      <text>
        <t>[Threaded comment]
Your version of Excel allows you to read this threaded comment; however, any edits to it will get removed if the file is opened in a newer version of Excel. Learn more: https://go.microsoft.com/fwlink/?linkid=870924
Comment:
    To make the indicator SMARTer, I would suggest this wording instead: "# of schools provided with access to basic hygiene services in the intervention communes"</t>
      </text>
    </comment>
    <comment ref="E65" authorId="26" shapeId="0" xr:uid="{8BF6E5A9-4FBA-44EC-87B1-75A81A87CAC6}">
      <text>
        <t>[Threaded comment]
Your version of Excel allows you to read this threaded comment; however, any edits to it will get removed if the file is opened in a newer version of Excel. Learn more: https://go.microsoft.com/fwlink/?linkid=870924
Comment:
    To make the indicator SMARTer, I would suggest this wording instead: "# of healthcare facilities provided with access to basic hygiene services in the intervention communes"</t>
      </text>
    </comment>
    <comment ref="F67" authorId="27" shapeId="0" xr:uid="{9D6BDB77-D995-46CA-9B3E-64E744707628}">
      <text>
        <t>[Threaded comment]
Your version of Excel allows you to read this threaded comment; however, any edits to it will get removed if the file is opened in a newer version of Excel. Learn more: https://go.microsoft.com/fwlink/?linkid=870924
Comment:
    Need a definition for "Aligned with HANWASH Core Values" here</t>
      </text>
    </comment>
    <comment ref="E68" authorId="28" shapeId="0" xr:uid="{4276713D-6E62-4F19-AE35-1FD6A3D5B8D8}">
      <text>
        <t>[Threaded comment]
Your version of Excel allows you to read this threaded comment; however, any edits to it will get removed if the file is opened in a newer version of Excel. Learn more: https://go.microsoft.com/fwlink/?linkid=870924
Comment:
    I would add "...in alignment with HANWASH goal, outcomes and Commune Action Plan"</t>
      </text>
    </comment>
    <comment ref="D72" authorId="29" shapeId="0" xr:uid="{1B8A98BA-F530-4AFE-BF02-A9C6E558E8BB}">
      <text>
        <t xml:space="preserve">[Threaded comment]
Your version of Excel allows you to read this threaded comment; however, any edits to it will get removed if the file is opened in a newer version of Excel. Learn more: https://go.microsoft.com/fwlink/?linkid=870924
Comment:
    This output and indicator might unintentionally imply that DINEPA staff are not already leaders or lack leadership skills, which could be perceived as patronizing or diminishing their professional expertise. It suggests an external party is "making" them leaders, which can come across as condescending.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tc={1E4FA560-3896-419B-90A0-D27C06A4C30E}</author>
    <author>tc={3D2F82A4-92EB-45F0-BD69-E684CE124E5B}</author>
    <author>tc={D6208897-F45E-41FF-A50E-9C6C9D544A2E}</author>
    <author>tc={FC1EB73A-5B04-458A-9A0C-FDFCF05BC4A1}</author>
    <author>tc={E8FFA6B0-8EF8-427B-823B-41E6AE71296E}</author>
    <author>tc={84125185-53EF-43E3-9849-667A6084B4D2}</author>
    <author>tc={29338250-90D7-429C-A4DD-D74A53A37F03}</author>
    <author>tc={5D755362-E311-4518-9D5E-19346DBE17B3}</author>
    <author>tc={060CC3E3-3ABD-4996-8A02-C3EDE0438AD4}</author>
    <author>tc={2739F72C-F140-47B0-91A0-1295235F4EF3}</author>
    <author>tc={1324CA91-D927-45D5-A54B-E9051A870BDF}</author>
    <author>tc={178BEA56-3E35-4BCD-944F-AD3BC89BBB17}</author>
    <author>tc={62B60B50-36C6-4126-91A9-54873D8729E9}</author>
    <author>tc={AC121C89-D44C-4939-864B-1672B533CE03}</author>
    <author>tc={E0A500F2-1569-4D82-895C-ABB5617225A4}</author>
    <author>tc={F42DDF2E-4228-467F-B363-14A3FAD2DB2C}</author>
    <author>tc={E53F9D60-B2E8-43F0-A1E2-CEDB54756A47}</author>
    <author>tc={805A26B0-C3B4-42EC-88A4-BD43B8CF1538}</author>
    <author>tc={59F32DC5-2D71-42B4-BD82-C80195E674F5}</author>
    <author>tc={BCF44B58-52F5-491C-A2DB-32CCC915EB09}</author>
    <author>tc={8DFB3B85-2C78-419F-BA95-DC07980E74D2}</author>
  </authors>
  <commentList>
    <comment ref="D11" authorId="0" shapeId="0" xr:uid="{1E4FA560-3896-419B-90A0-D27C06A4C30E}">
      <text>
        <t>[Threaded comment]
Your version of Excel allows you to read this threaded comment; however, any edits to it will get removed if the file is opened in a newer version of Excel. Learn more: https://go.microsoft.com/fwlink/?linkid=870924
Comment:
    Uniquely identifies each Indicator. The numerical part specifies the objective that it is measuring, and the alphabetical part allows there to be multiple indicators for a single objective.</t>
      </text>
    </comment>
    <comment ref="F11" authorId="1" shapeId="0" xr:uid="{3D2F82A4-92EB-45F0-BD69-E684CE124E5B}">
      <text>
        <t>[Threaded comment]
Your version of Excel allows you to read this threaded comment; however, any edits to it will get removed if the file is opened in a newer version of Excel. Learn more: https://go.microsoft.com/fwlink/?linkid=870924
Comment:
    This column contains definitions of any key terms in the description.</t>
      </text>
    </comment>
    <comment ref="G11" authorId="2" shapeId="0" xr:uid="{D6208897-F45E-41FF-A50E-9C6C9D544A2E}">
      <text>
        <t>[Threaded comment]
Your version of Excel allows you to read this threaded comment; however, any edits to it will get removed if the file is opened in a newer version of Excel. Learn more: https://go.microsoft.com/fwlink/?linkid=870924
Comment:
    The unit used to provide context to the indicator value. For indicators measured as a percent, the Units specifies the denominator of the percent calculation e.g. % of intervention water points = (numerical indicator value)/(number of intervention water points)</t>
      </text>
    </comment>
    <comment ref="H11" authorId="3" shapeId="0" xr:uid="{FC1EB73A-5B04-458A-9A0C-FDFCF05BC4A1}">
      <text>
        <t xml:space="preserve">[Threaded comment]
Your version of Excel allows you to read this threaded comment; however, any edits to it will get removed if the file is opened in a newer version of Excel. Learn more: https://go.microsoft.com/fwlink/?linkid=870924
Comment:
    In service: The data form has already been created and used previously. 
Needs mods: Some modification to the current data form may be necessary.
Needs training: All of the appropriate stakeholders have not been trained on its usage.
</t>
      </text>
    </comment>
    <comment ref="J11" authorId="4" shapeId="0" xr:uid="{E8FFA6B0-8EF8-427B-823B-41E6AE71296E}">
      <text>
        <t>[Threaded comment]
Your version of Excel allows you to read this threaded comment; however, any edits to it will get removed if the file is opened in a newer version of Excel. Learn more: https://go.microsoft.com/fwlink/?linkid=870924
Comment:
    These are the factors by which an indicator can be grouped (aggregation) or split into (disaggregation).</t>
      </text>
    </comment>
    <comment ref="R11" authorId="5" shapeId="0" xr:uid="{84125185-53EF-43E3-9849-667A6084B4D2}">
      <text>
        <t>[Threaded comment]
Your version of Excel allows you to read this threaded comment; however, any edits to it will get removed if the file is opened in a newer version of Excel. Learn more: https://go.microsoft.com/fwlink/?linkid=870924
Comment:
    The symbol "-", indicators that no new data collection is needed to validate this information.</t>
      </text>
    </comment>
    <comment ref="D14" authorId="6" shapeId="0" xr:uid="{29338250-90D7-429C-A4DD-D74A53A37F03}">
      <text>
        <t>[Threaded comment]
Your version of Excel allows you to read this threaded comment; however, any edits to it will get removed if the file is opened in a newer version of Excel. Learn more: https://go.microsoft.com/fwlink/?linkid=870924
Comment:
    Ask the RC President to share this data with us.</t>
      </text>
    </comment>
    <comment ref="D15" authorId="7" shapeId="0" xr:uid="{5D755362-E311-4518-9D5E-19346DBE17B3}">
      <text>
        <t>[Threaded comment]
Your version of Excel allows you to read this threaded comment; however, any edits to it will get removed if the file is opened in a newer version of Excel. Learn more: https://go.microsoft.com/fwlink/?linkid=870924
Comment:
    Ask the RC President to share this data with us.</t>
      </text>
    </comment>
    <comment ref="D16" authorId="8" shapeId="0" xr:uid="{060CC3E3-3ABD-4996-8A02-C3EDE0438AD4}">
      <text>
        <t>[Threaded comment]
Your version of Excel allows you to read this threaded comment; however, any edits to it will get removed if the file is opened in a newer version of Excel. Learn more: https://go.microsoft.com/fwlink/?linkid=870924
Comment:
    Ask the RC President to share this data with us.</t>
      </text>
    </comment>
    <comment ref="D17" authorId="9" shapeId="0" xr:uid="{2739F72C-F140-47B0-91A0-1295235F4EF3}">
      <text>
        <t>[Threaded comment]
Your version of Excel allows you to read this threaded comment; however, any edits to it will get removed if the file is opened in a newer version of Excel. Learn more: https://go.microsoft.com/fwlink/?linkid=870924
Comment:
    Get regular (quarterly) reports from the Mayors on progress toward the implementation of the CAP.</t>
      </text>
    </comment>
    <comment ref="E17" authorId="10" shapeId="0" xr:uid="{1324CA91-D927-45D5-A54B-E9051A870BDF}">
      <text>
        <t>[Threaded comment]
Your version of Excel allows you to read this threaded comment; however, any edits to it will get removed if the file is opened in a newer version of Excel. Learn more: https://go.microsoft.com/fwlink/?linkid=870924
Comment:
    We replaced "implemented activities" with "approved interventions" to emphasize the fact that here we cannot talk about activities but interventions since in the CAP, intervention is used to described the different WASH products that need to be delivered at the commune level. "Approved" means that  the interventions on which HANWASH or partners are working on should be assigned by local authorities to reinforce local leadership.</t>
      </text>
    </comment>
    <comment ref="D19" authorId="11" shapeId="0" xr:uid="{178BEA56-3E35-4BCD-944F-AD3BC89BBB17}">
      <text>
        <t>[Threaded comment]
Your version of Excel allows you to read this threaded comment; however, any edits to it will get removed if the file is opened in a newer version of Excel. Learn more: https://go.microsoft.com/fwlink/?linkid=870924
Comment:
    Get regular (quarterly) reports from the Mayors on progress towards this indicator.
Reply:
    Alex will create a form and train the Mayors on using it.</t>
      </text>
    </comment>
    <comment ref="E20" authorId="12" shapeId="0" xr:uid="{62B60B50-36C6-4126-91A9-54873D8729E9}">
      <text>
        <t>[Threaded comment]
Your version of Excel allows you to read this threaded comment; however, any edits to it will get removed if the file is opened in a newer version of Excel. Learn more: https://go.microsoft.com/fwlink/?linkid=870924
Comment:
    For more specificity, we added "...under HANWASH initiative…"</t>
      </text>
    </comment>
    <comment ref="F23" authorId="13" shapeId="0" xr:uid="{AC121C89-D44C-4939-864B-1672B533CE03}">
      <text>
        <t xml:space="preserve">[Threaded comment]
Your version of Excel allows you to read this threaded comment; however, any edits to it will get removed if the file is opened in a newer version of Excel. Learn more: https://go.microsoft.com/fwlink/?linkid=870924
Comment:
    I believe it's important to measure this indicator to foster Service Providers' responsiveness. </t>
      </text>
    </comment>
    <comment ref="F24" authorId="14" shapeId="0" xr:uid="{E0A500F2-1569-4D82-895C-ABB5617225A4}">
      <text>
        <t xml:space="preserve">[Threaded comment]
Your version of Excel allows you to read this threaded comment; however, any edits to it will get removed if the file is opened in a newer version of Excel. Learn more: https://go.microsoft.com/fwlink/?linkid=870924
Comment:
    I believe it's important to measure this indicator to foster Service Providers' responsiveness. </t>
      </text>
    </comment>
    <comment ref="E31" authorId="15" shapeId="0" xr:uid="{F42DDF2E-4228-467F-B363-14A3FAD2DB2C}">
      <text>
        <t>[Threaded comment]
Your version of Excel allows you to read this threaded comment; however, any edits to it will get removed if the file is opened in a newer version of Excel. Learn more: https://go.microsoft.com/fwlink/?linkid=870924
Comment:
    Added “or a budget with surplus” to make the indicator capture the whole picture.</t>
      </text>
    </comment>
    <comment ref="E32" authorId="16" shapeId="0" xr:uid="{E53F9D60-B2E8-43F0-A1E2-CEDB54756A47}">
      <text>
        <t xml:space="preserve">[Threaded comment]
Your version of Excel allows you to read this threaded comment; however, any edits to it will get removed if the file is opened in a newer version of Excel. Learn more: https://go.microsoft.com/fwlink/?linkid=870924
Comment:
    For more specificity in the indicator wording, I would suggest: "# of people in intervention communes with access to basic drinking water service through community managed water points" </t>
      </text>
    </comment>
    <comment ref="E33" authorId="17" shapeId="0" xr:uid="{805A26B0-C3B4-42EC-88A4-BD43B8CF1538}">
      <text>
        <t xml:space="preserve">[Threaded comment]
Your version of Excel allows you to read this threaded comment; however, any edits to it will get removed if the file is opened in a newer version of Excel. Learn more: https://go.microsoft.com/fwlink/?linkid=870924
Comment:
    For more specificity in the indicator wording, I would suggest: "# of people in intervention communes with access to safely managed drinking water service through professionally operated piped water systems" </t>
      </text>
    </comment>
    <comment ref="E37" authorId="18" shapeId="0" xr:uid="{59F32DC5-2D71-42B4-BD82-C80195E674F5}">
      <text>
        <t xml:space="preserve">[Threaded comment]
Your version of Excel allows you to read this threaded comment; however, any edits to it will get removed if the file is opened in a newer version of Excel. Learn more: https://go.microsoft.com/fwlink/?linkid=870924
Comment:
     added "...in the intervention communities" for more specificity. </t>
      </text>
    </comment>
    <comment ref="E39" authorId="19" shapeId="0" xr:uid="{BCF44B58-52F5-491C-A2DB-32CCC915EB09}">
      <text>
        <t>[Threaded comment]
Your version of Excel allows you to read this threaded comment; however, any edits to it will get removed if the file is opened in a newer version of Excel. Learn more: https://go.microsoft.com/fwlink/?linkid=870924
Comment:
    I replaced "people" by "population"</t>
      </text>
    </comment>
    <comment ref="C43" authorId="20" shapeId="0" xr:uid="{8DFB3B85-2C78-419F-BA95-DC07980E74D2}">
      <text>
        <t>[Threaded comment]
Your version of Excel allows you to read this threaded comment; however, any edits to it will get removed if the file is opened in a newer version of Excel. Learn more: https://go.microsoft.com/fwlink/?linkid=870924
Comment:
    Who will fund those public Water infrastructures? Which management structures can be established to make those public (schools and healthcare facilities) Water infrastructures sustainable? Is it realistic to say that the Households will pay a surplus fee to cover operational cost for schools and Healthcare facilities water infrastructures?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tc={F61046D1-ED1A-470E-A4AE-751A30C0E0AE}</author>
    <author>tc={19E8B7CA-130A-4B9E-9A61-389F8255AA40}</author>
    <author>tc={05475184-2E77-43B4-8BC2-A3FC9FF0C2F8}</author>
    <author>tc={6378518F-7456-451F-8E59-7099142B22CF}</author>
    <author>tc={27FB1D7C-B6A8-4434-AFBB-6251DCC0B209}</author>
    <author>tc={6F87D26C-9ECB-43A7-96C3-FE50223C7230}</author>
    <author>tc={095AE202-39E0-4D19-B3DE-26D9023B7193}</author>
    <author>tc={17DA0E6C-D11F-47E4-8006-B26BFF15CA87}</author>
    <author>tc={09703E16-AFFF-4E1B-89DC-23349D26AE33}</author>
    <author>tc={055F37A7-5FD2-4D52-BB5E-5AF10464EE5C}</author>
    <author>tc={BA473003-6045-4AFD-9BF4-3B7854B6B6C8}</author>
    <author>tc={7F048B1E-6985-4220-BC56-D269F5214CC2}</author>
    <author>tc={FDE5E79A-CAE6-4AFC-AE31-B46F19A7C852}</author>
    <author>tc={4D485266-5F85-41E6-898C-1ABAC809EE09}</author>
    <author>tc={ED1A3C6C-2BDD-4E74-A5AC-D434FB5EF541}</author>
    <author>tc={021CBECF-59CB-466D-AA83-A1C7FAC9BB31}</author>
    <author>tc={FCFF8AF5-1B93-4909-B4B1-01CC0FC69C5A}</author>
    <author>tc={9B82B24F-0CD2-418A-8406-33AE11E3F1DA}</author>
    <author>tc={D0037FA1-D521-4493-91ED-7ED16ED35F12}</author>
    <author>tc={C141C41A-2663-44A4-9943-71092161388D}</author>
    <author>tc={C32D8014-016E-4949-AF7A-EE7C9C45B765}</author>
  </authors>
  <commentList>
    <comment ref="D11" authorId="0" shapeId="0" xr:uid="{F61046D1-ED1A-470E-A4AE-751A30C0E0AE}">
      <text>
        <t>[Threaded comment]
Your version of Excel allows you to read this threaded comment; however, any edits to it will get removed if the file is opened in a newer version of Excel. Learn more: https://go.microsoft.com/fwlink/?linkid=870924
Comment:
    Uniquely identifies each Indicator. The numerical part specifies the objective that it is measuring, and the alphabetical part allows there to be multiple indicators for a single objective.</t>
      </text>
    </comment>
    <comment ref="F11" authorId="1" shapeId="0" xr:uid="{19E8B7CA-130A-4B9E-9A61-389F8255AA40}">
      <text>
        <t>[Threaded comment]
Your version of Excel allows you to read this threaded comment; however, any edits to it will get removed if the file is opened in a newer version of Excel. Learn more: https://go.microsoft.com/fwlink/?linkid=870924
Comment:
    This column contains definitions of any key terms in the description.</t>
      </text>
    </comment>
    <comment ref="G11" authorId="2" shapeId="0" xr:uid="{05475184-2E77-43B4-8BC2-A3FC9FF0C2F8}">
      <text>
        <t>[Threaded comment]
Your version of Excel allows you to read this threaded comment; however, any edits to it will get removed if the file is opened in a newer version of Excel. Learn more: https://go.microsoft.com/fwlink/?linkid=870924
Comment:
    The unit used to provide context to the indicator value. For indicators measured as a percent, the Units specifies the denominator of the percent calculation e.g. % of intervention water points = (numerical indicator value)/(number of intervention water points)</t>
      </text>
    </comment>
    <comment ref="H11" authorId="3" shapeId="0" xr:uid="{6378518F-7456-451F-8E59-7099142B22CF}">
      <text>
        <t xml:space="preserve">[Threaded comment]
Your version of Excel allows you to read this threaded comment; however, any edits to it will get removed if the file is opened in a newer version of Excel. Learn more: https://go.microsoft.com/fwlink/?linkid=870924
Comment:
    In service: The data form has already been created and used previously. 
Needs mods: Some modification to the current data form may be necessary.
Needs training: All of the appropriate stakeholders have not been trained on its usage.
</t>
      </text>
    </comment>
    <comment ref="J11" authorId="4" shapeId="0" xr:uid="{27FB1D7C-B6A8-4434-AFBB-6251DCC0B209}">
      <text>
        <t>[Threaded comment]
Your version of Excel allows you to read this threaded comment; however, any edits to it will get removed if the file is opened in a newer version of Excel. Learn more: https://go.microsoft.com/fwlink/?linkid=870924
Comment:
    These are the factors by which an indicator can be grouped (aggregation) or split into (disaggregation).</t>
      </text>
    </comment>
    <comment ref="R11" authorId="5" shapeId="0" xr:uid="{6F87D26C-9ECB-43A7-96C3-FE50223C7230}">
      <text>
        <t>[Threaded comment]
Your version of Excel allows you to read this threaded comment; however, any edits to it will get removed if the file is opened in a newer version of Excel. Learn more: https://go.microsoft.com/fwlink/?linkid=870924
Comment:
    The symbol "-", indicators that no new data collection is needed to validate this information.</t>
      </text>
    </comment>
    <comment ref="D14" authorId="6" shapeId="0" xr:uid="{095AE202-39E0-4D19-B3DE-26D9023B7193}">
      <text>
        <t>[Threaded comment]
Your version of Excel allows you to read this threaded comment; however, any edits to it will get removed if the file is opened in a newer version of Excel. Learn more: https://go.microsoft.com/fwlink/?linkid=870924
Comment:
    Ask the RC President to share this data with us.</t>
      </text>
    </comment>
    <comment ref="D15" authorId="7" shapeId="0" xr:uid="{17DA0E6C-D11F-47E4-8006-B26BFF15CA87}">
      <text>
        <t>[Threaded comment]
Your version of Excel allows you to read this threaded comment; however, any edits to it will get removed if the file is opened in a newer version of Excel. Learn more: https://go.microsoft.com/fwlink/?linkid=870924
Comment:
    Ask the RC President to share this data with us.</t>
      </text>
    </comment>
    <comment ref="D16" authorId="8" shapeId="0" xr:uid="{09703E16-AFFF-4E1B-89DC-23349D26AE33}">
      <text>
        <t>[Threaded comment]
Your version of Excel allows you to read this threaded comment; however, any edits to it will get removed if the file is opened in a newer version of Excel. Learn more: https://go.microsoft.com/fwlink/?linkid=870924
Comment:
    Ask the RC President to share this data with us.</t>
      </text>
    </comment>
    <comment ref="D17" authorId="9" shapeId="0" xr:uid="{055F37A7-5FD2-4D52-BB5E-5AF10464EE5C}">
      <text>
        <t>[Threaded comment]
Your version of Excel allows you to read this threaded comment; however, any edits to it will get removed if the file is opened in a newer version of Excel. Learn more: https://go.microsoft.com/fwlink/?linkid=870924
Comment:
    Get regular (quarterly) reports from the Mayors on progress toward the implementation of the CAP.</t>
      </text>
    </comment>
    <comment ref="E17" authorId="10" shapeId="0" xr:uid="{BA473003-6045-4AFD-9BF4-3B7854B6B6C8}">
      <text>
        <t>[Threaded comment]
Your version of Excel allows you to read this threaded comment; however, any edits to it will get removed if the file is opened in a newer version of Excel. Learn more: https://go.microsoft.com/fwlink/?linkid=870924
Comment:
    We replaced "implemented activities" with "approved interventions" to emphasize the fact that here we cannot talk about activities but interventions since in the CAP, intervention is used to described the different WASH products that need to be delivered at the commune level. "Approved" means that  the interventions on which HANWASH or partners are working on should be assigned by local authorities to reinforce local leadership.</t>
      </text>
    </comment>
    <comment ref="D19" authorId="11" shapeId="0" xr:uid="{7F048B1E-6985-4220-BC56-D269F5214CC2}">
      <text>
        <t>[Threaded comment]
Your version of Excel allows you to read this threaded comment; however, any edits to it will get removed if the file is opened in a newer version of Excel. Learn more: https://go.microsoft.com/fwlink/?linkid=870924
Comment:
    Get regular (quarterly) reports from the Mayors on progress towards this indicator.
Reply:
    Alex will create a form and train the Mayors on using it.</t>
      </text>
    </comment>
    <comment ref="E20" authorId="12" shapeId="0" xr:uid="{FDE5E79A-CAE6-4AFC-AE31-B46F19A7C852}">
      <text>
        <t>[Threaded comment]
Your version of Excel allows you to read this threaded comment; however, any edits to it will get removed if the file is opened in a newer version of Excel. Learn more: https://go.microsoft.com/fwlink/?linkid=870924
Comment:
    For more specificity, we added "...under HANWASH initiative…"</t>
      </text>
    </comment>
    <comment ref="F23" authorId="13" shapeId="0" xr:uid="{4D485266-5F85-41E6-898C-1ABAC809EE09}">
      <text>
        <t xml:space="preserve">[Threaded comment]
Your version of Excel allows you to read this threaded comment; however, any edits to it will get removed if the file is opened in a newer version of Excel. Learn more: https://go.microsoft.com/fwlink/?linkid=870924
Comment:
    I believe it's important to measure this indicator to foster Service Providers' responsiveness. </t>
      </text>
    </comment>
    <comment ref="F24" authorId="14" shapeId="0" xr:uid="{ED1A3C6C-2BDD-4E74-A5AC-D434FB5EF541}">
      <text>
        <t xml:space="preserve">[Threaded comment]
Your version of Excel allows you to read this threaded comment; however, any edits to it will get removed if the file is opened in a newer version of Excel. Learn more: https://go.microsoft.com/fwlink/?linkid=870924
Comment:
    I believe it's important to measure this indicator to foster Service Providers' responsiveness. </t>
      </text>
    </comment>
    <comment ref="E31" authorId="15" shapeId="0" xr:uid="{021CBECF-59CB-466D-AA83-A1C7FAC9BB31}">
      <text>
        <t>[Threaded comment]
Your version of Excel allows you to read this threaded comment; however, any edits to it will get removed if the file is opened in a newer version of Excel. Learn more: https://go.microsoft.com/fwlink/?linkid=870924
Comment:
    Added “or a budget with surplus” to make the indicator capture the whole picture.</t>
      </text>
    </comment>
    <comment ref="E32" authorId="16" shapeId="0" xr:uid="{FCFF8AF5-1B93-4909-B4B1-01CC0FC69C5A}">
      <text>
        <t xml:space="preserve">[Threaded comment]
Your version of Excel allows you to read this threaded comment; however, any edits to it will get removed if the file is opened in a newer version of Excel. Learn more: https://go.microsoft.com/fwlink/?linkid=870924
Comment:
    For more specificity in the indicator wording, I would suggest: "# of people in intervention communes with access to basic drinking water service through community managed water points" </t>
      </text>
    </comment>
    <comment ref="E33" authorId="17" shapeId="0" xr:uid="{9B82B24F-0CD2-418A-8406-33AE11E3F1DA}">
      <text>
        <t xml:space="preserve">[Threaded comment]
Your version of Excel allows you to read this threaded comment; however, any edits to it will get removed if the file is opened in a newer version of Excel. Learn more: https://go.microsoft.com/fwlink/?linkid=870924
Comment:
    For more specificity in the indicator wording, I would suggest: "# of people in intervention communes with access to safely managed drinking water service through professionally operated piped water systems" </t>
      </text>
    </comment>
    <comment ref="E37" authorId="18" shapeId="0" xr:uid="{D0037FA1-D521-4493-91ED-7ED16ED35F12}">
      <text>
        <t xml:space="preserve">[Threaded comment]
Your version of Excel allows you to read this threaded comment; however, any edits to it will get removed if the file is opened in a newer version of Excel. Learn more: https://go.microsoft.com/fwlink/?linkid=870924
Comment:
     added "...in the intervention communities" for more specificity. </t>
      </text>
    </comment>
    <comment ref="E39" authorId="19" shapeId="0" xr:uid="{C141C41A-2663-44A4-9943-71092161388D}">
      <text>
        <t>[Threaded comment]
Your version of Excel allows you to read this threaded comment; however, any edits to it will get removed if the file is opened in a newer version of Excel. Learn more: https://go.microsoft.com/fwlink/?linkid=870924
Comment:
    I replaced "people" by "population"</t>
      </text>
    </comment>
    <comment ref="C43" authorId="20" shapeId="0" xr:uid="{C32D8014-016E-4949-AF7A-EE7C9C45B765}">
      <text>
        <t>[Threaded comment]
Your version of Excel allows you to read this threaded comment; however, any edits to it will get removed if the file is opened in a newer version of Excel. Learn more: https://go.microsoft.com/fwlink/?linkid=870924
Comment:
    Who will fund those public Water infrastructures? Which management structures can be established to make those public (schools and healthcare facilities) Water infrastructures sustainable? Is it realistic to say that the Households will pay a surplus fee to cover operational cost for schools and Healthcare facilities water infrastructures?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tc={918C34A1-0F6B-4B85-9E21-EE312F7865DE}</author>
    <author>tc={F441253F-A0E1-4DEE-AA73-FE30F8286015}</author>
    <author>tc={7B5E0D61-D93C-457C-95FD-F7A0CF90BEFD}</author>
    <author>tc={C3DA0B6F-53B3-4B62-94A0-2414A052114B}</author>
    <author>tc={EC183D59-5347-4F7F-9529-7C48B19F6BF3}</author>
    <author>tc={D45BC55F-CC32-4767-ACDD-5FB80ED2841D}</author>
    <author>tc={F88A4399-6034-4B39-90B1-F600336A2238}</author>
    <author>tc={2F3ACEA4-002C-4CBE-8AE7-9BCD7DF5348B}</author>
    <author>tc={DD418044-5572-424B-96B7-B1D8E0E6F0E5}</author>
    <author>tc={9351DF03-9367-4339-8DD3-AC546F7E03E2}</author>
    <author>tc={3E77E42B-C7DE-4755-8DA0-469B55580CE0}</author>
    <author>tc={3C30CDA8-5AD9-4CFF-BF84-F302054E66E3}</author>
    <author>tc={DBF9553A-7B3C-4BA2-B7AD-B69275D9C001}</author>
    <author>tc={9D1044A8-2D93-4217-A4A0-994342ED5E14}</author>
    <author>tc={9B6D0875-5901-4CE7-B1D8-05023A088123}</author>
    <author>tc={815ED157-670F-4B5A-AA54-F0FAEA4D1142}</author>
    <author>tc={2D9CF7A6-D214-4220-9D22-6474578422B2}</author>
    <author>tc={03B51456-3E55-4B17-ACDE-23CE7AF61E9A}</author>
    <author>tc={70E0B5F7-F75F-4639-AC42-5A8DFD882F6F}</author>
    <author>tc={1FA25586-FB93-4E30-9DDE-32867D6C074D}</author>
    <author>tc={DA8A1648-3EFE-43B5-BA79-FFFAA2CB1685}</author>
  </authors>
  <commentList>
    <comment ref="D11" authorId="0" shapeId="0" xr:uid="{918C34A1-0F6B-4B85-9E21-EE312F7865DE}">
      <text>
        <t>[Threaded comment]
Your version of Excel allows you to read this threaded comment; however, any edits to it will get removed if the file is opened in a newer version of Excel. Learn more: https://go.microsoft.com/fwlink/?linkid=870924
Comment:
    Uniquely identifies each Indicator. The numerical part specifies the objective that it is measuring, and the alphabetical part allows there to be multiple indicators for a single objective.</t>
      </text>
    </comment>
    <comment ref="F11" authorId="1" shapeId="0" xr:uid="{F441253F-A0E1-4DEE-AA73-FE30F8286015}">
      <text>
        <t>[Threaded comment]
Your version of Excel allows you to read this threaded comment; however, any edits to it will get removed if the file is opened in a newer version of Excel. Learn more: https://go.microsoft.com/fwlink/?linkid=870924
Comment:
    This column contains definitions of any key terms in the description.</t>
      </text>
    </comment>
    <comment ref="G11" authorId="2" shapeId="0" xr:uid="{7B5E0D61-D93C-457C-95FD-F7A0CF90BEFD}">
      <text>
        <t>[Threaded comment]
Your version of Excel allows you to read this threaded comment; however, any edits to it will get removed if the file is opened in a newer version of Excel. Learn more: https://go.microsoft.com/fwlink/?linkid=870924
Comment:
    The unit used to provide context to the indicator value. For indicators measured as a percent, the Units specifies the denominator of the percent calculation e.g. % of intervention water points = (numerical indicator value)/(number of intervention water points)</t>
      </text>
    </comment>
    <comment ref="H11" authorId="3" shapeId="0" xr:uid="{C3DA0B6F-53B3-4B62-94A0-2414A052114B}">
      <text>
        <t xml:space="preserve">[Threaded comment]
Your version of Excel allows you to read this threaded comment; however, any edits to it will get removed if the file is opened in a newer version of Excel. Learn more: https://go.microsoft.com/fwlink/?linkid=870924
Comment:
    In service: The data form has already been created and used previously. 
Needs mods: Some modification to the current data form may be necessary.
Needs training: All of the appropriate stakeholders have not been trained on its usage.
</t>
      </text>
    </comment>
    <comment ref="J11" authorId="4" shapeId="0" xr:uid="{EC183D59-5347-4F7F-9529-7C48B19F6BF3}">
      <text>
        <t>[Threaded comment]
Your version of Excel allows you to read this threaded comment; however, any edits to it will get removed if the file is opened in a newer version of Excel. Learn more: https://go.microsoft.com/fwlink/?linkid=870924
Comment:
    These are the factors by which an indicator can be grouped (aggregation) or split into (disaggregation).</t>
      </text>
    </comment>
    <comment ref="R11" authorId="5" shapeId="0" xr:uid="{D45BC55F-CC32-4767-ACDD-5FB80ED2841D}">
      <text>
        <t>[Threaded comment]
Your version of Excel allows you to read this threaded comment; however, any edits to it will get removed if the file is opened in a newer version of Excel. Learn more: https://go.microsoft.com/fwlink/?linkid=870924
Comment:
    The symbol "-", indicators that no new data collection is needed to validate this information.</t>
      </text>
    </comment>
    <comment ref="D14" authorId="6" shapeId="0" xr:uid="{F88A4399-6034-4B39-90B1-F600336A2238}">
      <text>
        <t>[Threaded comment]
Your version of Excel allows you to read this threaded comment; however, any edits to it will get removed if the file is opened in a newer version of Excel. Learn more: https://go.microsoft.com/fwlink/?linkid=870924
Comment:
    Ask the RC President to share this data with us.</t>
      </text>
    </comment>
    <comment ref="D15" authorId="7" shapeId="0" xr:uid="{2F3ACEA4-002C-4CBE-8AE7-9BCD7DF5348B}">
      <text>
        <t>[Threaded comment]
Your version of Excel allows you to read this threaded comment; however, any edits to it will get removed if the file is opened in a newer version of Excel. Learn more: https://go.microsoft.com/fwlink/?linkid=870924
Comment:
    Ask the RC President to share this data with us.</t>
      </text>
    </comment>
    <comment ref="D16" authorId="8" shapeId="0" xr:uid="{DD418044-5572-424B-96B7-B1D8E0E6F0E5}">
      <text>
        <t>[Threaded comment]
Your version of Excel allows you to read this threaded comment; however, any edits to it will get removed if the file is opened in a newer version of Excel. Learn more: https://go.microsoft.com/fwlink/?linkid=870924
Comment:
    Ask the RC President to share this data with us.</t>
      </text>
    </comment>
    <comment ref="D17" authorId="9" shapeId="0" xr:uid="{9351DF03-9367-4339-8DD3-AC546F7E03E2}">
      <text>
        <t>[Threaded comment]
Your version of Excel allows you to read this threaded comment; however, any edits to it will get removed if the file is opened in a newer version of Excel. Learn more: https://go.microsoft.com/fwlink/?linkid=870924
Comment:
    Get regular (quarterly) reports from the Mayors on progress toward the implementation of the CAP.</t>
      </text>
    </comment>
    <comment ref="E17" authorId="10" shapeId="0" xr:uid="{3E77E42B-C7DE-4755-8DA0-469B55580CE0}">
      <text>
        <t>[Threaded comment]
Your version of Excel allows you to read this threaded comment; however, any edits to it will get removed if the file is opened in a newer version of Excel. Learn more: https://go.microsoft.com/fwlink/?linkid=870924
Comment:
    We replaced "implemented activities" with "approved interventions" to emphasize the fact that here we cannot talk about activities but interventions since in the CAP, intervention is used to described the different WASH products that need to be delivered at the commune level. "Approved" means that  the interventions on which HANWASH or partners are working on should be assigned by local authorities to reinforce local leadership.</t>
      </text>
    </comment>
    <comment ref="D19" authorId="11" shapeId="0" xr:uid="{3C30CDA8-5AD9-4CFF-BF84-F302054E66E3}">
      <text>
        <t>[Threaded comment]
Your version of Excel allows you to read this threaded comment; however, any edits to it will get removed if the file is opened in a newer version of Excel. Learn more: https://go.microsoft.com/fwlink/?linkid=870924
Comment:
    Get regular (quarterly) reports from the Mayors on progress towards this indicator.
Reply:
    Alex will create a form and train the Mayors on using it.</t>
      </text>
    </comment>
    <comment ref="E20" authorId="12" shapeId="0" xr:uid="{DBF9553A-7B3C-4BA2-B7AD-B69275D9C001}">
      <text>
        <t>[Threaded comment]
Your version of Excel allows you to read this threaded comment; however, any edits to it will get removed if the file is opened in a newer version of Excel. Learn more: https://go.microsoft.com/fwlink/?linkid=870924
Comment:
    For more specificity, we added "...under HANWASH initiative…"</t>
      </text>
    </comment>
    <comment ref="F23" authorId="13" shapeId="0" xr:uid="{9D1044A8-2D93-4217-A4A0-994342ED5E14}">
      <text>
        <t xml:space="preserve">[Threaded comment]
Your version of Excel allows you to read this threaded comment; however, any edits to it will get removed if the file is opened in a newer version of Excel. Learn more: https://go.microsoft.com/fwlink/?linkid=870924
Comment:
    I believe it's important to measure this indicator to foster Service Providers' responsiveness. </t>
      </text>
    </comment>
    <comment ref="F24" authorId="14" shapeId="0" xr:uid="{9B6D0875-5901-4CE7-B1D8-05023A088123}">
      <text>
        <t xml:space="preserve">[Threaded comment]
Your version of Excel allows you to read this threaded comment; however, any edits to it will get removed if the file is opened in a newer version of Excel. Learn more: https://go.microsoft.com/fwlink/?linkid=870924
Comment:
    I believe it's important to measure this indicator to foster Service Providers' responsiveness. </t>
      </text>
    </comment>
    <comment ref="E31" authorId="15" shapeId="0" xr:uid="{815ED157-670F-4B5A-AA54-F0FAEA4D1142}">
      <text>
        <t>[Threaded comment]
Your version of Excel allows you to read this threaded comment; however, any edits to it will get removed if the file is opened in a newer version of Excel. Learn more: https://go.microsoft.com/fwlink/?linkid=870924
Comment:
    Added “or a budget with surplus” to make the indicator capture the whole picture.</t>
      </text>
    </comment>
    <comment ref="E32" authorId="16" shapeId="0" xr:uid="{2D9CF7A6-D214-4220-9D22-6474578422B2}">
      <text>
        <t xml:space="preserve">[Threaded comment]
Your version of Excel allows you to read this threaded comment; however, any edits to it will get removed if the file is opened in a newer version of Excel. Learn more: https://go.microsoft.com/fwlink/?linkid=870924
Comment:
    For more specificity in the indicator wording, I would suggest: "# of people in intervention communes with access to basic drinking water service through community managed water points" </t>
      </text>
    </comment>
    <comment ref="E33" authorId="17" shapeId="0" xr:uid="{03B51456-3E55-4B17-ACDE-23CE7AF61E9A}">
      <text>
        <t xml:space="preserve">[Threaded comment]
Your version of Excel allows you to read this threaded comment; however, any edits to it will get removed if the file is opened in a newer version of Excel. Learn more: https://go.microsoft.com/fwlink/?linkid=870924
Comment:
    For more specificity in the indicator wording, I would suggest: "# of people in intervention communes with access to safely managed drinking water service through professionally operated piped water systems" </t>
      </text>
    </comment>
    <comment ref="E37" authorId="18" shapeId="0" xr:uid="{70E0B5F7-F75F-4639-AC42-5A8DFD882F6F}">
      <text>
        <t xml:space="preserve">[Threaded comment]
Your version of Excel allows you to read this threaded comment; however, any edits to it will get removed if the file is opened in a newer version of Excel. Learn more: https://go.microsoft.com/fwlink/?linkid=870924
Comment:
     added "...in the intervention communities" for more specificity. </t>
      </text>
    </comment>
    <comment ref="E39" authorId="19" shapeId="0" xr:uid="{1FA25586-FB93-4E30-9DDE-32867D6C074D}">
      <text>
        <t>[Threaded comment]
Your version of Excel allows you to read this threaded comment; however, any edits to it will get removed if the file is opened in a newer version of Excel. Learn more: https://go.microsoft.com/fwlink/?linkid=870924
Comment:
    I replaced "people" by "population"</t>
      </text>
    </comment>
    <comment ref="C43" authorId="20" shapeId="0" xr:uid="{DA8A1648-3EFE-43B5-BA79-FFFAA2CB1685}">
      <text>
        <t>[Threaded comment]
Your version of Excel allows you to read this threaded comment; however, any edits to it will get removed if the file is opened in a newer version of Excel. Learn more: https://go.microsoft.com/fwlink/?linkid=870924
Comment:
    Who will fund those public Water infrastructures? Which management structures can be established to make those public (schools and healthcare facilities) Water infrastructures sustainable? Is it realistic to say that the Households will pay a surplus fee to cover operational cost for schools and Healthcare facilities water infrastructures?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tc={6A44D848-B788-4845-B379-08DF19CE8667}</author>
    <author>tc={5A3A69C7-4F76-4CF9-85FD-A8C8555A70DA}</author>
    <author>tc={D179A872-01B4-4CC5-A61E-BDFFBF95319B}</author>
    <author>tc={7C115C09-926A-4CAD-B992-A20E97110AF4}</author>
    <author>tc={CCB43C0E-CDD5-4FBD-B3ED-C13681255051}</author>
    <author>tc={5D8D1B9D-1FAD-4E80-B24A-9B69D305516C}</author>
    <author>tc={F289ADAC-CB2D-473E-8C85-B4D0E2A999EA}</author>
    <author>tc={767D750C-7320-4539-A699-C90F0672F1EB}</author>
    <author>tc={54C02788-107A-46DB-8F3A-68792CA56983}</author>
    <author>tc={4F1F61C2-DA9A-45E3-A603-4C3D53CC024C}</author>
    <author>tc={8469EF8B-800C-4270-9E6B-DE477BEB535D}</author>
    <author>tc={F1C11B59-48F2-4BCB-A8EF-05C0F9E021E0}</author>
    <author>tc={6076127C-90CF-4B92-AC50-EC20A6BEC147}</author>
    <author>tc={728CDADA-5F36-43F9-9F56-AAC59D3086F5}</author>
    <author>tc={2F152F2C-854E-46EC-836E-A56FE60A776F}</author>
    <author>tc={942A346D-3899-4E2E-A456-E1B7A568990F}</author>
    <author>tc={9A6672C1-AD55-4E18-BB2A-21E56D34F743}</author>
    <author>tc={8B542B0D-74AD-4EC0-817A-FEEBA28EB152}</author>
    <author>tc={7BDECC22-F684-467C-96B0-155E145584CB}</author>
    <author>tc={FD771E50-5A75-4C41-99F2-74F34C83E722}</author>
    <author>tc={CE207887-7142-4319-8F3B-4C94D10EB20F}</author>
    <author>tc={C4885F21-9C1B-42E1-AF72-01AD78890E76}</author>
    <author>tc={72773989-3E9E-42B4-AED5-872EAE9D14D3}</author>
    <author>tc={0504A7A6-05BB-4407-BFF1-BF8DA3782452}</author>
    <author>tc={980AF694-C6EF-40C8-9EA2-BDDE008AF71F}</author>
    <author>tc={4FDF8608-7E33-43FD-AE98-23F7FC521FD3}</author>
    <author>tc={1824486F-13B1-4073-BAA2-69F6941C2A12}</author>
    <author>tc={F8476FDD-5140-4A96-B8A8-B0181EACB128}</author>
  </authors>
  <commentList>
    <comment ref="D1" authorId="0" shapeId="0" xr:uid="{6A44D848-B788-4845-B379-08DF19CE8667}">
      <text>
        <t>[Threaded comment]
Your version of Excel allows you to read this threaded comment; however, any edits to it will get removed if the file is opened in a newer version of Excel. Learn more: https://go.microsoft.com/fwlink/?linkid=870924
Comment:
    Uniquely identifies each Indicator. The numerical part specifies the objective that it is measuring, and the alphabetical part allows there to be multiple indicators for a single objective.</t>
      </text>
    </comment>
    <comment ref="F1" authorId="1" shapeId="0" xr:uid="{5A3A69C7-4F76-4CF9-85FD-A8C8555A70DA}">
      <text>
        <t>[Threaded comment]
Your version of Excel allows you to read this threaded comment; however, any edits to it will get removed if the file is opened in a newer version of Excel. Learn more: https://go.microsoft.com/fwlink/?linkid=870924
Comment:
    This column contains definitions of any key terms in the description.</t>
      </text>
    </comment>
    <comment ref="G1" authorId="2" shapeId="0" xr:uid="{D179A872-01B4-4CC5-A61E-BDFFBF95319B}">
      <text>
        <t>[Threaded comment]
Your version of Excel allows you to read this threaded comment; however, any edits to it will get removed if the file is opened in a newer version of Excel. Learn more: https://go.microsoft.com/fwlink/?linkid=870924
Comment:
    The unit used to provide context to the indicator value. For indicators measured as a percent, the Units specifies the denominator of the percent calculation e.g. % of intervention water points = (numerical indicator value)/(number of intervention water points)</t>
      </text>
    </comment>
    <comment ref="H1" authorId="3" shapeId="0" xr:uid="{7C115C09-926A-4CAD-B992-A20E97110AF4}">
      <text>
        <t xml:space="preserve">[Threaded comment]
Your version of Excel allows you to read this threaded comment; however, any edits to it will get removed if the file is opened in a newer version of Excel. Learn more: https://go.microsoft.com/fwlink/?linkid=870924
Comment:
    In service: The data form has already been created and used previously. 
Needs mods: Some modification to the current data form may be necessary.
Needs training: All of the appropriate stakeholders have not been trained on its usage.
</t>
      </text>
    </comment>
    <comment ref="J1" authorId="4" shapeId="0" xr:uid="{CCB43C0E-CDD5-4FBD-B3ED-C13681255051}">
      <text>
        <t>[Threaded comment]
Your version of Excel allows you to read this threaded comment; however, any edits to it will get removed if the file is opened in a newer version of Excel. Learn more: https://go.microsoft.com/fwlink/?linkid=870924
Comment:
    These are the factors by which an indicator can be grouped (aggregation) or split into (disaggregation).</t>
      </text>
    </comment>
    <comment ref="O1" authorId="5" shapeId="0" xr:uid="{5D8D1B9D-1FAD-4E80-B24A-9B69D305516C}">
      <text>
        <t>[Threaded comment]
Your version of Excel allows you to read this threaded comment; however, any edits to it will get removed if the file is opened in a newer version of Excel. Learn more: https://go.microsoft.com/fwlink/?linkid=870924
Comment:
    The symbol "-", indicators that no new data collection is needed to validate this information.</t>
      </text>
    </comment>
    <comment ref="E4" authorId="6" shapeId="0" xr:uid="{F289ADAC-CB2D-473E-8C85-B4D0E2A999EA}">
      <text>
        <t>[Threaded comment]
Your version of Excel allows you to read this threaded comment; however, any edits to it will get removed if the file is opened in a newer version of Excel. Learn more: https://go.microsoft.com/fwlink/?linkid=870924
Comment:
    "Rotarian" includes:
-Ambassador club members (within Haiti)
-Champion club members (outside of Haiti)
-HANWASH staff and volunteers
M&amp;E team, is this correct?</t>
      </text>
    </comment>
    <comment ref="E5" authorId="7" shapeId="0" xr:uid="{767D750C-7320-4539-A699-C90F0672F1EB}">
      <text>
        <t xml:space="preserve">[Threaded comment]
Your version of Excel allows you to read this threaded comment; however, any edits to it will get removed if the file is opened in a newer version of Excel. Learn more: https://go.microsoft.com/fwlink/?linkid=870924
Comment:
    "Rotarian" includes:
-Ambassador club members (within Haiti)
-Champion club members (outside of Haiti)
-HANWASH staff and volunteers
M&amp;E team, is this correct?
Reply:
    Set as row 14
Reply:
    I think this indicator is relevant since it assess, not only the participation but the extent to which Rotarians take the leadership of WASH events. </t>
      </text>
    </comment>
    <comment ref="E7" authorId="8" shapeId="0" xr:uid="{54C02788-107A-46DB-8F3A-68792CA56983}">
      <text>
        <t>[Threaded comment]
Your version of Excel allows you to read this threaded comment; however, any edits to it will get removed if the file is opened in a newer version of Excel. Learn more: https://go.microsoft.com/fwlink/?linkid=870924
Comment:
    I think it's important to track the number of people reached by Rotarians in the commune events led by them. This can give us insights on the intensity of the advocacy efforts.</t>
      </text>
    </comment>
    <comment ref="E12" authorId="9" shapeId="0" xr:uid="{4F1F61C2-DA9A-45E3-A603-4C3D53CC024C}">
      <text>
        <t>[Threaded comment]
Your version of Excel allows you to read this threaded comment; however, any edits to it will get removed if the file is opened in a newer version of Excel. Learn more: https://go.microsoft.com/fwlink/?linkid=870924
Comment:
    We replaced "implemented activities" with "approved interventions" to emphasize the fact that here we cannot talk about activities but interventions since in the CAP, intervention is used to described the different WASH products that need to be delivered at the commune level. "Approved" means that  the interventions on which HANWASH or partners are working on should be assigned by local authorities to reinforce local leadership.</t>
      </text>
    </comment>
    <comment ref="E15" authorId="10" shapeId="0" xr:uid="{8469EF8B-800C-4270-9E6B-DE477BEB535D}">
      <text>
        <t>[Threaded comment]
Your version of Excel allows you to read this threaded comment; however, any edits to it will get removed if the file is opened in a newer version of Excel. Learn more: https://go.microsoft.com/fwlink/?linkid=870924
Comment:
    For more specificity, we added "...under HANWASH initiative…"</t>
      </text>
    </comment>
    <comment ref="F20" authorId="11" shapeId="0" xr:uid="{F1C11B59-48F2-4BCB-A8EF-05C0F9E021E0}">
      <text>
        <t xml:space="preserve">[Threaded comment]
Your version of Excel allows you to read this threaded comment; however, any edits to it will get removed if the file is opened in a newer version of Excel. Learn more: https://go.microsoft.com/fwlink/?linkid=870924
Comment:
    I believe it's important to measure this indicator to foster Service Providers' efficiency. </t>
      </text>
    </comment>
    <comment ref="E22" authorId="12" shapeId="0" xr:uid="{6076127C-90CF-4B92-AC50-EC20A6BEC147}">
      <text>
        <t>[Threaded comment]
Your version of Excel allows you to read this threaded comment; however, any edits to it will get removed if the file is opened in a newer version of Excel. Learn more: https://go.microsoft.com/fwlink/?linkid=870924
Comment:
    Do we need to have this only after 2 yrs?</t>
      </text>
    </comment>
    <comment ref="E26" authorId="13" shapeId="0" xr:uid="{728CDADA-5F36-43F9-9F56-AAC59D3086F5}">
      <text>
        <t xml:space="preserve">[Threaded comment]
Your version of Excel allows you to read this threaded comment; however, any edits to it will get removed if the file is opened in a newer version of Excel. Learn more: https://go.microsoft.com/fwlink/?linkid=870924
Comment:
    For more specificity in the indicator wording, I would suggest: "# of people in intervention communes with access to basic drinking water service through community managed water points" </t>
      </text>
    </comment>
    <comment ref="K28" authorId="14" shapeId="0" xr:uid="{2F152F2C-854E-46EC-836E-A56FE60A776F}">
      <text>
        <t>[Threaded comment]
Your version of Excel allows you to read this threaded comment; however, any edits to it will get removed if the file is opened in a newer version of Excel. Learn more: https://go.microsoft.com/fwlink/?linkid=870924
Comment:
    We need to check if the Implementation Event Tracking form is suitable to register the CPE monthly reports. Otherwise, we'll need to create a specific form for those reports.</t>
      </text>
    </comment>
    <comment ref="E29" authorId="15" shapeId="0" xr:uid="{942A346D-3899-4E2E-A456-E1B7A568990F}">
      <text>
        <t xml:space="preserve">[Threaded comment]
Your version of Excel allows you to read this threaded comment; however, any edits to it will get removed if the file is opened in a newer version of Excel. Learn more: https://go.microsoft.com/fwlink/?linkid=870924
Comment:
    For more specificity in the indicator wording, I would suggest: "# of people in intervention communes with access to safely managed drinking water service through professionally operated piped water systems" </t>
      </text>
    </comment>
    <comment ref="E31" authorId="16" shapeId="0" xr:uid="{9A6672C1-AD55-4E18-BB2A-21E56D34F743}">
      <text>
        <t xml:space="preserve">[Threaded comment]
Your version of Excel allows you to read this threaded comment; however, any edits to it will get removed if the file is opened in a newer version of Excel. Learn more: https://go.microsoft.com/fwlink/?linkid=870924
Comment:
    I added "...in the intervention communes" for more specificity. </t>
      </text>
    </comment>
    <comment ref="E35" authorId="17" shapeId="0" xr:uid="{8B542B0D-74AD-4EC0-817A-FEEBA28EB152}">
      <text>
        <t xml:space="preserve">[Threaded comment]
Your version of Excel allows you to read this threaded comment; however, any edits to it will get removed if the file is opened in a newer version of Excel. Learn more: https://go.microsoft.com/fwlink/?linkid=870924
Comment:
     added "...in the intervention communities" for more specificity. </t>
      </text>
    </comment>
    <comment ref="E36" authorId="18" shapeId="0" xr:uid="{7BDECC22-F684-467C-96B0-155E145584CB}">
      <text>
        <t xml:space="preserve">[Threaded comment]
Your version of Excel allows you to read this threaded comment; however, any edits to it will get removed if the file is opened in a newer version of Excel. Learn more: https://go.microsoft.com/fwlink/?linkid=870924
Comment:
    It would be less time consuming and more manageable to assess this for the communal sections. There are too many villages in the communes. </t>
      </text>
    </comment>
    <comment ref="E39" authorId="19" shapeId="0" xr:uid="{FD771E50-5A75-4C41-99F2-74F34C83E722}">
      <text>
        <t>[Threaded comment]
Your version of Excel allows you to read this threaded comment; however, any edits to it will get removed if the file is opened in a newer version of Excel. Learn more: https://go.microsoft.com/fwlink/?linkid=870924
Comment:
    I replaced "people" by "population"</t>
      </text>
    </comment>
    <comment ref="E46" authorId="20" shapeId="0" xr:uid="{CE207887-7142-4319-8F3B-4C94D10EB20F}">
      <text>
        <t>[Threaded comment]
Your version of Excel allows you to read this threaded comment; however, any edits to it will get removed if the file is opened in a newer version of Excel. Learn more: https://go.microsoft.com/fwlink/?linkid=870924
Comment:
    To make the indicator SMARTer, I would suggest this wording instead: "# of schools provided with access to basic drinking water services in the intervention communes"</t>
      </text>
    </comment>
    <comment ref="E47" authorId="21" shapeId="0" xr:uid="{C4885F21-9C1B-42E1-AF72-01AD78890E76}">
      <text>
        <t>[Threaded comment]
Your version of Excel allows you to read this threaded comment; however, any edits to it will get removed if the file is opened in a newer version of Excel. Learn more: https://go.microsoft.com/fwlink/?linkid=870924
Comment:
    To make the indicator SMARTer, I would suggest this wording instead: "# of healthcare facilities provided with access to basic drinking water services in the intervention communes"</t>
      </text>
    </comment>
    <comment ref="E48" authorId="22" shapeId="0" xr:uid="{72773989-3E9E-42B4-AED5-872EAE9D14D3}">
      <text>
        <t>[Threaded comment]
Your version of Excel allows you to read this threaded comment; however, any edits to it will get removed if the file is opened in a newer version of Excel. Learn more: https://go.microsoft.com/fwlink/?linkid=870924
Comment:
    To make the indicator SMARTer, I would suggest this wording instead: "# of schools provided with access to basic sanitation services in the intervention communes"</t>
      </text>
    </comment>
    <comment ref="E49" authorId="23" shapeId="0" xr:uid="{0504A7A6-05BB-4407-BFF1-BF8DA3782452}">
      <text>
        <t>[Threaded comment]
Your version of Excel allows you to read this threaded comment; however, any edits to it will get removed if the file is opened in a newer version of Excel. Learn more: https://go.microsoft.com/fwlink/?linkid=870924
Comment:
    To make the indicator SMARTer, I would suggest this wording instead: "# of healthcare facilities provided with access to basic sanitation services in the intervention communes"</t>
      </text>
    </comment>
    <comment ref="E50" authorId="24" shapeId="0" xr:uid="{980AF694-C6EF-40C8-9EA2-BDDE008AF71F}">
      <text>
        <t>[Threaded comment]
Your version of Excel allows you to read this threaded comment; however, any edits to it will get removed if the file is opened in a newer version of Excel. Learn more: https://go.microsoft.com/fwlink/?linkid=870924
Comment:
    To make the indicator SMARTer, I would suggest this wording instead: "# of schools provided with access to basic hygiene services in the intervention communes"</t>
      </text>
    </comment>
    <comment ref="E51" authorId="25" shapeId="0" xr:uid="{4FDF8608-7E33-43FD-AE98-23F7FC521FD3}">
      <text>
        <t>[Threaded comment]
Your version of Excel allows you to read this threaded comment; however, any edits to it will get removed if the file is opened in a newer version of Excel. Learn more: https://go.microsoft.com/fwlink/?linkid=870924
Comment:
    To make the indicator SMARTer, I would suggest this wording instead: "# of healthcare facilities provided with access to basic hygiene services in the intervention communes"</t>
      </text>
    </comment>
    <comment ref="F53" authorId="26" shapeId="0" xr:uid="{1824486F-13B1-4073-BAA2-69F6941C2A12}">
      <text>
        <t>[Threaded comment]
Your version of Excel allows you to read this threaded comment; however, any edits to it will get removed if the file is opened in a newer version of Excel. Learn more: https://go.microsoft.com/fwlink/?linkid=870924
Comment:
    Need a definition for "Aligned with HANWASH Core Values" here</t>
      </text>
    </comment>
    <comment ref="E54" authorId="27" shapeId="0" xr:uid="{F8476FDD-5140-4A96-B8A8-B0181EACB128}">
      <text>
        <t>[Threaded comment]
Your version of Excel allows you to read this threaded comment; however, any edits to it will get removed if the file is opened in a newer version of Excel. Learn more: https://go.microsoft.com/fwlink/?linkid=870924
Comment:
    I would add "...in alignment with HANWASH goal, outcomes and Commune Action Plan"</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tc={1D82C050-4FEE-4519-A073-DA4B42E22224}</author>
    <author>tc={73AE7F21-EED6-4404-9292-B21879F392E0}</author>
    <author>tc={FB7740A2-841F-4CF3-8D26-68A7FFACBB92}</author>
    <author>tc={A578732C-E498-4594-87F8-EF9E415C67F5}</author>
    <author>tc={029EF659-7DD5-4D69-B21E-65BCD2747F77}</author>
    <author>tc={753F2848-D89D-48FB-8E1C-454E29B15AF6}</author>
    <author>tc={CF8F093C-A0AC-40E0-99AA-998D4F73CDFC}</author>
    <author>tc={4FF960BB-F058-4553-8A77-C1B8FF21E157}</author>
    <author>tc={C245A08D-D096-43BF-A35B-8D40549185E7}</author>
    <author>tc={61348F74-A08B-4449-8BBC-2E7F95A82C39}</author>
    <author>tc={5E2E8C30-B8F6-4EB0-BEE4-C454670E1693}</author>
    <author>tc={1ABFB38B-6374-43E3-85CB-E010B1916D14}</author>
    <author>tc={E7763A3C-94B0-43EF-8661-485C85B0BE4A}</author>
    <author>tc={D2C23485-0E04-464C-BE41-3C729116DAC9}</author>
    <author>tc={E32216E5-0D38-4777-ADEC-BE14314A7BF6}</author>
    <author>tc={4542AF61-A270-4565-B8F6-4406FF971842}</author>
    <author>tc={DF1BC067-B4DB-499D-AE20-66EFE10C3300}</author>
    <author>tc={26853B9B-A8CB-4E89-877C-1279ECC94C3A}</author>
    <author>tc={3C1056BF-B91B-4D19-89BB-EC7C5E1E5B6C}</author>
    <author>tc={028F94FE-C4C0-48E0-88FA-6F58C2E0E1FE}</author>
    <author>tc={AD158F34-ED0B-41D1-93AA-8B4F0DDCE4B7}</author>
    <author>tc={50F92C37-FB9E-4D94-9B2A-127AADE198E4}</author>
    <author>tc={5DAB6ACB-DB5B-45AD-A78C-A9DEE0684E9D}</author>
    <author>tc={8BAC1C53-D71C-4747-8F1F-8329D7008B29}</author>
    <author>tc={7A195020-901C-4C6E-A261-252F8BC7258F}</author>
    <author>tc={FBA50DDD-A433-42CA-BAD1-D0F087523EC6}</author>
    <author>tc={CFCCC3E2-870A-4DDD-9723-DC473E078706}</author>
    <author>tc={3E37A3DB-E53B-4267-B24B-97E219E4653F}</author>
    <author>tc={7CFDE204-BFCE-4949-B179-CBAAEA06B02B}</author>
    <author>tc={7BCD3916-7882-4211-B9DF-4FD505377189}</author>
    <author>tc={5FD52F25-34BB-4614-8B96-7C4EA02D4A8C}</author>
    <author>tc={08FFA051-3E1D-4B50-B13D-131DFC28E5F9}</author>
    <author>tc={FAFF8F24-1AF2-4BD2-A33A-980B650C305C}</author>
    <author>tc={B85F2671-FB25-473D-8E55-AC494C9DF47F}</author>
    <author>tc={31CD4E84-BC0D-4802-8539-BFE7B0AA8C88}</author>
  </authors>
  <commentList>
    <comment ref="E15" authorId="0" shapeId="0" xr:uid="{1D82C050-4FEE-4519-A073-DA4B42E22224}">
      <text>
        <t>[Threaded comment]
Your version of Excel allows you to read this threaded comment; however, any edits to it will get removed if the file is opened in a newer version of Excel. Learn more: https://go.microsoft.com/fwlink/?linkid=870924
Comment:
    This is difficult because there will be a vast number of meetings held by implementing partners in communities. Should we limit the denominator here to "commune level events"?</t>
      </text>
    </comment>
    <comment ref="E16" authorId="1" shapeId="0" xr:uid="{73AE7F21-EED6-4404-9292-B21879F392E0}">
      <text>
        <t>[Threaded comment]
Your version of Excel allows you to read this threaded comment; however, any edits to it will get removed if the file is opened in a newer version of Excel. Learn more: https://go.microsoft.com/fwlink/?linkid=870924
Comment:
    5-7 hrs per week per club
Reply:
    Paid staff don't count towards volunteer hours.</t>
      </text>
    </comment>
    <comment ref="E17" authorId="2" shapeId="0" xr:uid="{FB7740A2-841F-4CF3-8D26-68A7FFACBB92}">
      <text>
        <t>[Threaded comment]
Your version of Excel allows you to read this threaded comment; however, any edits to it will get removed if the file is opened in a newer version of Excel. Learn more: https://go.microsoft.com/fwlink/?linkid=870924
Comment:
    (from Mattson Proposal)</t>
      </text>
    </comment>
    <comment ref="F17" authorId="3" shapeId="0" xr:uid="{A578732C-E498-4594-87F8-EF9E415C67F5}">
      <text>
        <t>[Threaded comment]
Your version of Excel allows you to read this threaded comment; however, any edits to it will get removed if the file is opened in a newer version of Excel. Learn more: https://go.microsoft.com/fwlink/?linkid=870924
Comment:
    How many are in the first cohort?</t>
      </text>
    </comment>
    <comment ref="E18" authorId="4" shapeId="0" xr:uid="{029EF659-7DD5-4D69-B21E-65BCD2747F77}">
      <text>
        <t>[Threaded comment]
Your version of Excel allows you to read this threaded comment; however, any edits to it will get removed if the file is opened in a newer version of Excel. Learn more: https://go.microsoft.com/fwlink/?linkid=870924
Comment:
    Carribean countries?</t>
      </text>
    </comment>
    <comment ref="F18" authorId="5" shapeId="0" xr:uid="{753F2848-D89D-48FB-8E1C-454E29B15AF6}">
      <text>
        <t>[Threaded comment]
Your version of Excel allows you to read this threaded comment; however, any edits to it will get removed if the file is opened in a newer version of Excel. Learn more: https://go.microsoft.com/fwlink/?linkid=870924
Comment:
    How many are in the first cohort?</t>
      </text>
    </comment>
    <comment ref="E19" authorId="6" shapeId="0" xr:uid="{CF8F093C-A0AC-40E0-99AA-998D4F73CDFC}">
      <text>
        <t>[Threaded comment]
Your version of Excel allows you to read this threaded comment; however, any edits to it will get removed if the file is opened in a newer version of Excel. Learn more: https://go.microsoft.com/fwlink/?linkid=870924
Comment:
    It isn't feasible that the Commune Action Plan perfectly align with the Mattson Proposal plan, but a majority of activities should be aligned.</t>
      </text>
    </comment>
    <comment ref="E21" authorId="7" shapeId="0" xr:uid="{4FF960BB-F058-4553-8A77-C1B8FF21E157}">
      <text>
        <t>[Threaded comment]
Your version of Excel allows you to read this threaded comment; however, any edits to it will get removed if the file is opened in a newer version of Excel. Learn more: https://go.microsoft.com/fwlink/?linkid=870924
Comment:
    One event per intervention commune per month</t>
      </text>
    </comment>
    <comment ref="E28" authorId="8" shapeId="0" xr:uid="{C245A08D-D096-43BF-A35B-8D40549185E7}">
      <text>
        <t>[Threaded comment]
Your version of Excel allows you to read this threaded comment; however, any edits to it will get removed if the file is opened in a newer version of Excel. Learn more: https://go.microsoft.com/fwlink/?linkid=870924
Comment:
    Estimation based on functionality rate for Haiti Outreach (2005-2020)</t>
      </text>
    </comment>
    <comment ref="E31" authorId="9" shapeId="0" xr:uid="{61348F74-A08B-4449-8BBC-2E7F95A82C39}">
      <text>
        <t>[Threaded comment]
Your version of Excel allows you to read this threaded comment; however, any edits to it will get removed if the file is opened in a newer version of Excel. Learn more: https://go.microsoft.com/fwlink/?linkid=870924
Comment:
    400 communities x 250 people per community</t>
      </text>
    </comment>
    <comment ref="F31" authorId="10" shapeId="0" xr:uid="{5E2E8C30-B8F6-4EB0-BEE4-C454670E1693}">
      <text>
        <t>[Threaded comment]
Your version of Excel allows you to read this threaded comment; however, any edits to it will get removed if the file is opened in a newer version of Excel. Learn more: https://go.microsoft.com/fwlink/?linkid=870924
Comment:
    From "Performance objectives" document (10000 people)</t>
      </text>
    </comment>
    <comment ref="N31" authorId="11" shapeId="0" xr:uid="{1ABFB38B-6374-43E3-85CB-E010B1916D14}">
      <text>
        <t>[Threaded comment]
Your version of Excel allows you to read this threaded comment; however, any edits to it will get removed if the file is opened in a newer version of Excel. Learn more: https://go.microsoft.com/fwlink/?linkid=870924
Comment:
    From performance objectives (50,000 people)</t>
      </text>
    </comment>
    <comment ref="E32" authorId="12" shapeId="0" xr:uid="{E7763A3C-94B0-43EF-8661-485C85B0BE4A}">
      <text>
        <t>[Threaded comment]
Your version of Excel allows you to read this threaded comment; however, any edits to it will get removed if the file is opened in a newer version of Excel. Learn more: https://go.microsoft.com/fwlink/?linkid=870924
Comment:
    400 communities (from Mattson Proposal)</t>
      </text>
    </comment>
    <comment ref="F32" authorId="13" shapeId="0" xr:uid="{D2C23485-0E04-464C-BE41-3C729116DAC9}">
      <text>
        <t>[Threaded comment]
Your version of Excel allows you to read this threaded comment; however, any edits to it will get removed if the file is opened in a newer version of Excel. Learn more: https://go.microsoft.com/fwlink/?linkid=870924
Comment:
    10,000 people / 250 people per community</t>
      </text>
    </comment>
    <comment ref="N32" authorId="14" shapeId="0" xr:uid="{E32216E5-0D38-4777-ADEC-BE14314A7BF6}">
      <text>
        <t>[Threaded comment]
Your version of Excel allows you to read this threaded comment; however, any edits to it will get removed if the file is opened in a newer version of Excel. Learn more: https://go.microsoft.com/fwlink/?linkid=870924
Comment:
    50,000 people / 250 people per community</t>
      </text>
    </comment>
    <comment ref="E33" authorId="15" shapeId="0" xr:uid="{4542AF61-A270-4565-B8F6-4406FF971842}">
      <text>
        <t>[Threaded comment]
Your version of Excel allows you to read this threaded comment; however, any edits to it will get removed if the file is opened in a newer version of Excel. Learn more: https://go.microsoft.com/fwlink/?linkid=870924
Comment:
    Maybe 1,000 HH/water system (highly dependent on feasibility studies)</t>
      </text>
    </comment>
    <comment ref="E34" authorId="16" shapeId="0" xr:uid="{DF1BC067-B4DB-499D-AE20-66EFE10C3300}">
      <text>
        <t>[Threaded comment]
Your version of Excel allows you to read this threaded comment; however, any edits to it will get removed if the file is opened in a newer version of Excel. Learn more: https://go.microsoft.com/fwlink/?linkid=870924
Comment:
    5 systems (from Mattson Proposal)</t>
      </text>
    </comment>
    <comment ref="E35" authorId="17" shapeId="0" xr:uid="{26853B9B-A8CB-4E89-877C-1279ECC94C3A}">
      <text>
        <t>[Threaded comment]
Your version of Excel allows you to read this threaded comment; however, any edits to it will get removed if the file is opened in a newer version of Excel. Learn more: https://go.microsoft.com/fwlink/?linkid=870924
Comment:
    75% of completed communities. Need to estimate this from HO and UNICEF projects.</t>
      </text>
    </comment>
    <comment ref="E37" authorId="18" shapeId="0" xr:uid="{3C1056BF-B91B-4D19-89BB-EC7C5E1E5B6C}">
      <text>
        <t>[Threaded comment]
Your version of Excel allows you to read this threaded comment; however, any edits to it will get removed if the file is opened in a newer version of Excel. Learn more: https://go.microsoft.com/fwlink/?linkid=870924
Comment:
    Need to discuss % treated in-situ and % offsite treatment. The latter can be either SOIL or STEB (Station de traitement d'eaus usées et boues).</t>
      </text>
    </comment>
    <comment ref="E38" authorId="19" shapeId="0" xr:uid="{028F94FE-C4C0-48E0-88FA-6F58C2E0E1FE}">
      <text>
        <t>[Threaded comment]
Your version of Excel allows you to read this threaded comment; however, any edits to it will get removed if the file is opened in a newer version of Excel. Learn more: https://go.microsoft.com/fwlink/?linkid=870924
Comment:
    400 communities x 250 people per community</t>
      </text>
    </comment>
    <comment ref="F38" authorId="20" shapeId="0" xr:uid="{AD158F34-ED0B-41D1-93AA-8B4F0DDCE4B7}">
      <text>
        <t>[Threaded comment]
Your version of Excel allows you to read this threaded comment; however, any edits to it will get removed if the file is opened in a newer version of Excel. Learn more: https://go.microsoft.com/fwlink/?linkid=870924
Comment:
    From "Performance objectives" document (10000 people)</t>
      </text>
    </comment>
    <comment ref="E39" authorId="21" shapeId="0" xr:uid="{50F92C37-FB9E-4D94-9B2A-127AADE198E4}">
      <text>
        <t>[Threaded comment]
Your version of Excel allows you to read this threaded comment; however, any edits to it will get removed if the file is opened in a newer version of Excel. Learn more: https://go.microsoft.com/fwlink/?linkid=870924
Comment:
    75% of completed communities x 400 completed communities</t>
      </text>
    </comment>
    <comment ref="F39" authorId="22" shapeId="0" xr:uid="{5DAB6ACB-DB5B-45AD-A78C-A9DEE0684E9D}">
      <text>
        <t>[Threaded comment]
Your version of Excel allows you to read this threaded comment; however, any edits to it will get removed if the file is opened in a newer version of Excel. Learn more: https://go.microsoft.com/fwlink/?linkid=870924
Comment:
    2000 households / 5.5. people per household * 250 people per community</t>
      </text>
    </comment>
    <comment ref="E40" authorId="23" shapeId="0" xr:uid="{8BAC1C53-D71C-4747-8F1F-8329D7008B29}">
      <text>
        <t>[Threaded comment]
Your version of Excel allows you to read this threaded comment; however, any edits to it will get removed if the file is opened in a newer version of Excel. Learn more: https://go.microsoft.com/fwlink/?linkid=870924
Comment:
    75% x # verified ODF will maintain this status for at least 1 year.</t>
      </text>
    </comment>
    <comment ref="E41" authorId="24" shapeId="0" xr:uid="{7A195020-901C-4C6E-A261-252F8BC7258F}">
      <text>
        <t>[Threaded comment]
Your version of Excel allows you to read this threaded comment; however, any edits to it will get removed if the file is opened in a newer version of Excel. Learn more: https://go.microsoft.com/fwlink/?linkid=870924
Comment:
    400 communities x 75% monitored for ODF</t>
      </text>
    </comment>
    <comment ref="F41" authorId="25" shapeId="0" xr:uid="{FBA50DDD-A433-42CA-BAD1-D0F087523EC6}">
      <text>
        <t>[Threaded comment]
Your version of Excel allows you to read this threaded comment; however, any edits to it will get removed if the file is opened in a newer version of Excel. Learn more: https://go.microsoft.com/fwlink/?linkid=870924
Comment:
    75% of communities verified ODF</t>
      </text>
    </comment>
    <comment ref="E42" authorId="26" shapeId="0" xr:uid="{CFCCC3E2-870A-4DDD-9723-DC473E078706}">
      <text>
        <t>[Threaded comment]
Your version of Excel allows you to read this threaded comment; however, any edits to it will get removed if the file is opened in a newer version of Excel. Learn more: https://go.microsoft.com/fwlink/?linkid=870924
Comment:
    75% of people in completed communities x 400 completed communities x 250 people per community</t>
      </text>
    </comment>
    <comment ref="E43" authorId="27" shapeId="0" xr:uid="{3E37A3DB-E53B-4267-B24B-97E219E4653F}">
      <text>
        <t>[Threaded comment]
Your version of Excel allows you to read this threaded comment; however, any edits to it will get removed if the file is opened in a newer version of Excel. Learn more: https://go.microsoft.com/fwlink/?linkid=870924
Comment:
    400 communities x 250 people per community</t>
      </text>
    </comment>
    <comment ref="F43" authorId="28" shapeId="0" xr:uid="{7CFDE204-BFCE-4949-B179-CBAAEA06B02B}">
      <text>
        <t>[Threaded comment]
Your version of Excel allows you to read this threaded comment; however, any edits to it will get removed if the file is opened in a newer version of Excel. Learn more: https://go.microsoft.com/fwlink/?linkid=870924
Comment:
    From "Performance objectives" document (10000 people)</t>
      </text>
    </comment>
    <comment ref="E44" authorId="29" shapeId="0" xr:uid="{7BCD3916-7882-4211-B9DF-4FD505377189}">
      <text>
        <t>[Threaded comment]
Your version of Excel allows you to read this threaded comment; however, any edits to it will get removed if the file is opened in a newer version of Excel. Learn more: https://go.microsoft.com/fwlink/?linkid=870924
Comment:
    2 / commune x 5 communes</t>
      </text>
    </comment>
    <comment ref="F44" authorId="30" shapeId="0" xr:uid="{5FD52F25-34BB-4614-8B96-7C4EA02D4A8C}">
      <text>
        <t>[Threaded comment]
Your version of Excel allows you to read this threaded comment; however, any edits to it will get removed if the file is opened in a newer version of Excel. Learn more: https://go.microsoft.com/fwlink/?linkid=870924
Comment:
    How many are in the first cohort?</t>
      </text>
    </comment>
    <comment ref="E45" authorId="31" shapeId="0" xr:uid="{08FFA051-3E1D-4B50-B13D-131DFC28E5F9}">
      <text>
        <t>[Threaded comment]
Your version of Excel allows you to read this threaded comment; however, any edits to it will get removed if the file is opened in a newer version of Excel. Learn more: https://go.microsoft.com/fwlink/?linkid=870924
Comment:
    5 of the 7 communes (from Mattson Proposal)</t>
      </text>
    </comment>
    <comment ref="F45" authorId="32" shapeId="0" xr:uid="{FAFF8F24-1AF2-4BD2-A33A-980B650C305C}">
      <text>
        <t>[Threaded comment]
Your version of Excel allows you to read this threaded comment; however, any edits to it will get removed if the file is opened in a newer version of Excel. Learn more: https://go.microsoft.com/fwlink/?linkid=870924
Comment:
    How many are in the first cohort?</t>
      </text>
    </comment>
    <comment ref="E60" authorId="33" shapeId="0" xr:uid="{B85F2671-FB25-473D-8E55-AC494C9DF47F}">
      <text>
        <t>[Threaded comment]
Your version of Excel allows you to read this threaded comment; however, any edits to it will get removed if the file is opened in a newer version of Excel. Learn more: https://go.microsoft.com/fwlink/?linkid=870924
Comment:
    To be discussed</t>
      </text>
    </comment>
    <comment ref="F60" authorId="34" shapeId="0" xr:uid="{31CD4E84-BC0D-4802-8539-BFE7B0AA8C88}">
      <text>
        <t>[Threaded comment]
Your version of Excel allows you to read this threaded comment; however, any edits to it will get removed if the file is opened in a newer version of Excel. Learn more: https://go.microsoft.com/fwlink/?linkid=870924
Comment:
    How many are in the first cohort?</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tc={5006B86A-D3F7-4466-83D3-AC811C9C835B}</author>
    <author>tc={11F2396C-AA16-426E-9FE9-A58C00D1DD39}</author>
    <author>tc={269FE38C-08FD-40DE-9368-B051532D2BA2}</author>
    <author>tc={990371B2-69DD-4627-9BA7-E46BE0EC5652}</author>
    <author>tc={B5E3B3E2-FA88-461E-A6DB-2D5DA39E4246}</author>
    <author>tc={E4BCC3F3-366B-4393-AEBD-25A491C6FC6B}</author>
    <author>tc={E5FC11A6-80FA-4FD9-8FD7-C82CD0734439}</author>
    <author>tc={97D9B549-F556-42F3-B4AB-6D0690D7E6AC}</author>
    <author>tc={1F20C5F2-D8B5-4E9B-A8EA-17EA27E66870}</author>
    <author>tc={6D158410-E528-4C94-B789-3EDE5C0A71F5}</author>
    <author>tc={9B78397F-090F-4742-B54F-5C06E81B9754}</author>
    <author>tc={C9CDDDCB-5C1C-41BD-B715-0548F39DE7CF}</author>
    <author>tc={1D27168B-2B01-401D-BEE8-605FF10F9F8A}</author>
    <author>tc={F5C4ACE0-CD9C-4F49-AC34-C34B7C3C302C}</author>
    <author>tc={9C324C3E-8641-444B-A375-29D197464D00}</author>
    <author>tc={71BBCCDE-E3F8-4EC1-81B9-E828E1907A2A}</author>
    <author>tc={14B42DDF-18DB-43FE-AEAA-746F6C8BEDD4}</author>
    <author>tc={E1667F62-641E-4A83-B639-10B99D16C6EC}</author>
    <author>tc={29B33CCF-9DA1-44DE-8672-4DFD2E336566}</author>
    <author>tc={5DEF9F2D-95EC-489D-A2BE-56EA3E5B6640}</author>
    <author>tc={38521EF7-D530-4C7B-AEBB-CD0833EBD77C}</author>
  </authors>
  <commentList>
    <comment ref="D11" authorId="0" shapeId="0" xr:uid="{5006B86A-D3F7-4466-83D3-AC811C9C835B}">
      <text>
        <t>[Threaded comment]
Your version of Excel allows you to read this threaded comment; however, any edits to it will get removed if the file is opened in a newer version of Excel. Learn more: https://go.microsoft.com/fwlink/?linkid=870924
Comment:
    Uniquely identifies each Indicator. The numerical part specifies the objective that it is measuring, and the alphabetical part allows there to be multiple indicators for a single objective.</t>
      </text>
    </comment>
    <comment ref="F11" authorId="1" shapeId="0" xr:uid="{11F2396C-AA16-426E-9FE9-A58C00D1DD39}">
      <text>
        <t>[Threaded comment]
Your version of Excel allows you to read this threaded comment; however, any edits to it will get removed if the file is opened in a newer version of Excel. Learn more: https://go.microsoft.com/fwlink/?linkid=870924
Comment:
    This column contains definitions of any key terms in the description.</t>
      </text>
    </comment>
    <comment ref="G11" authorId="2" shapeId="0" xr:uid="{269FE38C-08FD-40DE-9368-B051532D2BA2}">
      <text>
        <t>[Threaded comment]
Your version of Excel allows you to read this threaded comment; however, any edits to it will get removed if the file is opened in a newer version of Excel. Learn more: https://go.microsoft.com/fwlink/?linkid=870924
Comment:
    The unit used to provide context to the indicator value. For indicators measured as a percent, the Units specifies the denominator of the percent calculation e.g. % of intervention water points = (numerical indicator value)/(number of intervention water points)</t>
      </text>
    </comment>
    <comment ref="H11" authorId="3" shapeId="0" xr:uid="{990371B2-69DD-4627-9BA7-E46BE0EC5652}">
      <text>
        <t xml:space="preserve">[Threaded comment]
Your version of Excel allows you to read this threaded comment; however, any edits to it will get removed if the file is opened in a newer version of Excel. Learn more: https://go.microsoft.com/fwlink/?linkid=870924
Comment:
    In service: The data form has already been created and used previously. 
Needs mods: Some modification to the current data form may be necessary.
Needs training: All of the appropriate stakeholders have not been trained on its usage.
</t>
      </text>
    </comment>
    <comment ref="J11" authorId="4" shapeId="0" xr:uid="{B5E3B3E2-FA88-461E-A6DB-2D5DA39E4246}">
      <text>
        <t>[Threaded comment]
Your version of Excel allows you to read this threaded comment; however, any edits to it will get removed if the file is opened in a newer version of Excel. Learn more: https://go.microsoft.com/fwlink/?linkid=870924
Comment:
    These are the factors by which an indicator can be grouped (aggregation) or split into (disaggregation).</t>
      </text>
    </comment>
    <comment ref="R11" authorId="5" shapeId="0" xr:uid="{E4BCC3F3-366B-4393-AEBD-25A491C6FC6B}">
      <text>
        <t>[Threaded comment]
Your version of Excel allows you to read this threaded comment; however, any edits to it will get removed if the file is opened in a newer version of Excel. Learn more: https://go.microsoft.com/fwlink/?linkid=870924
Comment:
    The symbol "-", indicators that no new data collection is needed to validate this information.</t>
      </text>
    </comment>
    <comment ref="D14" authorId="6" shapeId="0" xr:uid="{E5FC11A6-80FA-4FD9-8FD7-C82CD0734439}">
      <text>
        <t>[Threaded comment]
Your version of Excel allows you to read this threaded comment; however, any edits to it will get removed if the file is opened in a newer version of Excel. Learn more: https://go.microsoft.com/fwlink/?linkid=870924
Comment:
    Ask the RC President to share this data with us.</t>
      </text>
    </comment>
    <comment ref="D15" authorId="7" shapeId="0" xr:uid="{97D9B549-F556-42F3-B4AB-6D0690D7E6AC}">
      <text>
        <t>[Threaded comment]
Your version of Excel allows you to read this threaded comment; however, any edits to it will get removed if the file is opened in a newer version of Excel. Learn more: https://go.microsoft.com/fwlink/?linkid=870924
Comment:
    Ask the RC President to share this data with us.</t>
      </text>
    </comment>
    <comment ref="D16" authorId="8" shapeId="0" xr:uid="{1F20C5F2-D8B5-4E9B-A8EA-17EA27E66870}">
      <text>
        <t>[Threaded comment]
Your version of Excel allows you to read this threaded comment; however, any edits to it will get removed if the file is opened in a newer version of Excel. Learn more: https://go.microsoft.com/fwlink/?linkid=870924
Comment:
    Ask the RC President to share this data with us.</t>
      </text>
    </comment>
    <comment ref="D17" authorId="9" shapeId="0" xr:uid="{6D158410-E528-4C94-B789-3EDE5C0A71F5}">
      <text>
        <t>[Threaded comment]
Your version of Excel allows you to read this threaded comment; however, any edits to it will get removed if the file is opened in a newer version of Excel. Learn more: https://go.microsoft.com/fwlink/?linkid=870924
Comment:
    Get regular (quarterly) reports from the Mayors on progress toward the implementation of the CAP.</t>
      </text>
    </comment>
    <comment ref="E17" authorId="10" shapeId="0" xr:uid="{9B78397F-090F-4742-B54F-5C06E81B9754}">
      <text>
        <t>[Threaded comment]
Your version of Excel allows you to read this threaded comment; however, any edits to it will get removed if the file is opened in a newer version of Excel. Learn more: https://go.microsoft.com/fwlink/?linkid=870924
Comment:
    We replaced "implemented activities" with "approved interventions" to emphasize the fact that here we cannot talk about activities but interventions since in the CAP, intervention is used to described the different WASH products that need to be delivered at the commune level. "Approved" means that  the interventions on which HANWASH or partners are working on should be assigned by local authorities to reinforce local leadership.</t>
      </text>
    </comment>
    <comment ref="D19" authorId="11" shapeId="0" xr:uid="{C9CDDDCB-5C1C-41BD-B715-0548F39DE7CF}">
      <text>
        <t>[Threaded comment]
Your version of Excel allows you to read this threaded comment; however, any edits to it will get removed if the file is opened in a newer version of Excel. Learn more: https://go.microsoft.com/fwlink/?linkid=870924
Comment:
    Get regular (quarterly) reports from the Mayors on progress towards this indicator.
Reply:
    Alex will create a form and train the Mayors on using it.</t>
      </text>
    </comment>
    <comment ref="E20" authorId="12" shapeId="0" xr:uid="{1D27168B-2B01-401D-BEE8-605FF10F9F8A}">
      <text>
        <t>[Threaded comment]
Your version of Excel allows you to read this threaded comment; however, any edits to it will get removed if the file is opened in a newer version of Excel. Learn more: https://go.microsoft.com/fwlink/?linkid=870924
Comment:
    For more specificity, we added "...under HANWASH initiative…"</t>
      </text>
    </comment>
    <comment ref="F23" authorId="13" shapeId="0" xr:uid="{F5C4ACE0-CD9C-4F49-AC34-C34B7C3C302C}">
      <text>
        <t xml:space="preserve">[Threaded comment]
Your version of Excel allows you to read this threaded comment; however, any edits to it will get removed if the file is opened in a newer version of Excel. Learn more: https://go.microsoft.com/fwlink/?linkid=870924
Comment:
    I believe it's important to measure this indicator to foster Service Providers' responsiveness. </t>
      </text>
    </comment>
    <comment ref="F24" authorId="14" shapeId="0" xr:uid="{9C324C3E-8641-444B-A375-29D197464D00}">
      <text>
        <t xml:space="preserve">[Threaded comment]
Your version of Excel allows you to read this threaded comment; however, any edits to it will get removed if the file is opened in a newer version of Excel. Learn more: https://go.microsoft.com/fwlink/?linkid=870924
Comment:
    I believe it's important to measure this indicator to foster Service Providers' responsiveness. </t>
      </text>
    </comment>
    <comment ref="E31" authorId="15" shapeId="0" xr:uid="{71BBCCDE-E3F8-4EC1-81B9-E828E1907A2A}">
      <text>
        <t>[Threaded comment]
Your version of Excel allows you to read this threaded comment; however, any edits to it will get removed if the file is opened in a newer version of Excel. Learn more: https://go.microsoft.com/fwlink/?linkid=870924
Comment:
    Added “or a budget with surplus” to make the indicator capture the whole picture.</t>
      </text>
    </comment>
    <comment ref="E32" authorId="16" shapeId="0" xr:uid="{14B42DDF-18DB-43FE-AEAA-746F6C8BEDD4}">
      <text>
        <t xml:space="preserve">[Threaded comment]
Your version of Excel allows you to read this threaded comment; however, any edits to it will get removed if the file is opened in a newer version of Excel. Learn more: https://go.microsoft.com/fwlink/?linkid=870924
Comment:
    For more specificity in the indicator wording, I would suggest: "# of people in intervention communes with access to basic drinking water service through community managed water points" </t>
      </text>
    </comment>
    <comment ref="E33" authorId="17" shapeId="0" xr:uid="{E1667F62-641E-4A83-B639-10B99D16C6EC}">
      <text>
        <t xml:space="preserve">[Threaded comment]
Your version of Excel allows you to read this threaded comment; however, any edits to it will get removed if the file is opened in a newer version of Excel. Learn more: https://go.microsoft.com/fwlink/?linkid=870924
Comment:
    For more specificity in the indicator wording, I would suggest: "# of people in intervention communes with access to safely managed drinking water service through professionally operated piped water systems" </t>
      </text>
    </comment>
    <comment ref="E37" authorId="18" shapeId="0" xr:uid="{29B33CCF-9DA1-44DE-8672-4DFD2E336566}">
      <text>
        <t xml:space="preserve">[Threaded comment]
Your version of Excel allows you to read this threaded comment; however, any edits to it will get removed if the file is opened in a newer version of Excel. Learn more: https://go.microsoft.com/fwlink/?linkid=870924
Comment:
     added "...in the intervention communities" for more specificity. </t>
      </text>
    </comment>
    <comment ref="E39" authorId="19" shapeId="0" xr:uid="{5DEF9F2D-95EC-489D-A2BE-56EA3E5B6640}">
      <text>
        <t>[Threaded comment]
Your version of Excel allows you to read this threaded comment; however, any edits to it will get removed if the file is opened in a newer version of Excel. Learn more: https://go.microsoft.com/fwlink/?linkid=870924
Comment:
    I replaced "people" by "population"</t>
      </text>
    </comment>
    <comment ref="C43" authorId="20" shapeId="0" xr:uid="{38521EF7-D530-4C7B-AEBB-CD0833EBD77C}">
      <text>
        <t>[Threaded comment]
Your version of Excel allows you to read this threaded comment; however, any edits to it will get removed if the file is opened in a newer version of Excel. Learn more: https://go.microsoft.com/fwlink/?linkid=870924
Comment:
    Who will fund those public Water infrastructures? Which management structures can be established to make those public (schools and healthcare facilities) Water infrastructures sustainable? Is it realistic to say that the Households will pay a surplus fee to cover operational cost for schools and Healthcare facilities water infrastructures?</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tc={57F2F40D-73E0-4E8F-ADAA-99021A66D51E}</author>
    <author>tc={2395C9E9-257B-452C-9488-ED0531B89D5C}</author>
    <author>tc={AE4BE67B-3C25-4B2B-B15D-E40AFCC5F6D7}</author>
    <author>tc={4D724C55-9737-4705-9A46-4B0268479DCC}</author>
    <author>tc={ACA43BE4-D442-46A6-AF11-96DD958DA20F}</author>
    <author>tc={53318852-6D56-4CBE-BB39-CC52763CA32D}</author>
    <author>tc={58EE0FCA-C07A-42BE-ACEC-5BD1A43ADE92}</author>
    <author>tc={4244F830-67FB-40CC-8D76-5AFA18CC6460}</author>
    <author>tc={D46F6830-06AF-4E9B-BB09-F513DD19C89C}</author>
    <author>tc={ADE65BF0-553C-47C6-AF6F-B5386E9D650C}</author>
    <author>tc={4190763F-BFF9-4408-88B4-656AEA3CA4A5}</author>
    <author>tc={66501159-B26C-4DA3-8E63-BC00C84A8309}</author>
    <author>tc={C0736B27-9B5F-4D4A-9F38-571ACA2D2EC3}</author>
    <author>tc={1B2D37A0-EC05-4A56-9885-9326B4A53D50}</author>
    <author>tc={24521260-4324-4D8D-B953-735DC4D78329}</author>
    <author>tc={519FBD6B-5ACE-475F-853B-A2302A67E88B}</author>
    <author>tc={8BB900B5-90B1-4475-9380-E5E8019F384B}</author>
    <author>tc={A9723640-AD47-4954-80D1-7410DA306CEE}</author>
    <author>tc={B8C4B537-A597-4C92-BB05-70610F8FA6DD}</author>
    <author>tc={8CED7A75-E775-4C03-B4F0-E5541A8EA939}</author>
    <author>tc={2AF8F92B-7B6C-4C68-B119-BC8FFD2B2F4E}</author>
  </authors>
  <commentList>
    <comment ref="D11" authorId="0" shapeId="0" xr:uid="{57F2F40D-73E0-4E8F-ADAA-99021A66D51E}">
      <text>
        <t>[Threaded comment]
Your version of Excel allows you to read this threaded comment; however, any edits to it will get removed if the file is opened in a newer version of Excel. Learn more: https://go.microsoft.com/fwlink/?linkid=870924
Comment:
    Uniquely identifies each Indicator. The numerical part specifies the objective that it is measuring, and the alphabetical part allows there to be multiple indicators for a single objective.</t>
      </text>
    </comment>
    <comment ref="F11" authorId="1" shapeId="0" xr:uid="{2395C9E9-257B-452C-9488-ED0531B89D5C}">
      <text>
        <t>[Threaded comment]
Your version of Excel allows you to read this threaded comment; however, any edits to it will get removed if the file is opened in a newer version of Excel. Learn more: https://go.microsoft.com/fwlink/?linkid=870924
Comment:
    This column contains definitions of any key terms in the description.</t>
      </text>
    </comment>
    <comment ref="G11" authorId="2" shapeId="0" xr:uid="{AE4BE67B-3C25-4B2B-B15D-E40AFCC5F6D7}">
      <text>
        <t>[Threaded comment]
Your version of Excel allows you to read this threaded comment; however, any edits to it will get removed if the file is opened in a newer version of Excel. Learn more: https://go.microsoft.com/fwlink/?linkid=870924
Comment:
    The unit used to provide context to the indicator value. For indicators measured as a percent, the Units specifies the denominator of the percent calculation e.g. % of intervention water points = (numerical indicator value)/(number of intervention water points)</t>
      </text>
    </comment>
    <comment ref="H11" authorId="3" shapeId="0" xr:uid="{4D724C55-9737-4705-9A46-4B0268479DCC}">
      <text>
        <t xml:space="preserve">[Threaded comment]
Your version of Excel allows you to read this threaded comment; however, any edits to it will get removed if the file is opened in a newer version of Excel. Learn more: https://go.microsoft.com/fwlink/?linkid=870924
Comment:
    In service: The data form has already been created and used previously. 
Needs mods: Some modification to the current data form may be necessary.
Needs training: All of the appropriate stakeholders have not been trained on its usage.
</t>
      </text>
    </comment>
    <comment ref="J11" authorId="4" shapeId="0" xr:uid="{ACA43BE4-D442-46A6-AF11-96DD958DA20F}">
      <text>
        <t>[Threaded comment]
Your version of Excel allows you to read this threaded comment; however, any edits to it will get removed if the file is opened in a newer version of Excel. Learn more: https://go.microsoft.com/fwlink/?linkid=870924
Comment:
    These are the factors by which an indicator can be grouped (aggregation) or split into (disaggregation).</t>
      </text>
    </comment>
    <comment ref="R11" authorId="5" shapeId="0" xr:uid="{53318852-6D56-4CBE-BB39-CC52763CA32D}">
      <text>
        <t>[Threaded comment]
Your version of Excel allows you to read this threaded comment; however, any edits to it will get removed if the file is opened in a newer version of Excel. Learn more: https://go.microsoft.com/fwlink/?linkid=870924
Comment:
    The symbol "-", indicators that no new data collection is needed to validate this information.</t>
      </text>
    </comment>
    <comment ref="D14" authorId="6" shapeId="0" xr:uid="{58EE0FCA-C07A-42BE-ACEC-5BD1A43ADE92}">
      <text>
        <t>[Threaded comment]
Your version of Excel allows you to read this threaded comment; however, any edits to it will get removed if the file is opened in a newer version of Excel. Learn more: https://go.microsoft.com/fwlink/?linkid=870924
Comment:
    Ask the RC President to share this data with us.</t>
      </text>
    </comment>
    <comment ref="D15" authorId="7" shapeId="0" xr:uid="{4244F830-67FB-40CC-8D76-5AFA18CC6460}">
      <text>
        <t>[Threaded comment]
Your version of Excel allows you to read this threaded comment; however, any edits to it will get removed if the file is opened in a newer version of Excel. Learn more: https://go.microsoft.com/fwlink/?linkid=870924
Comment:
    Ask the RC President to share this data with us.</t>
      </text>
    </comment>
    <comment ref="D16" authorId="8" shapeId="0" xr:uid="{D46F6830-06AF-4E9B-BB09-F513DD19C89C}">
      <text>
        <t>[Threaded comment]
Your version of Excel allows you to read this threaded comment; however, any edits to it will get removed if the file is opened in a newer version of Excel. Learn more: https://go.microsoft.com/fwlink/?linkid=870924
Comment:
    Ask the RC President to share this data with us.</t>
      </text>
    </comment>
    <comment ref="D17" authorId="9" shapeId="0" xr:uid="{ADE65BF0-553C-47C6-AF6F-B5386E9D650C}">
      <text>
        <t>[Threaded comment]
Your version of Excel allows you to read this threaded comment; however, any edits to it will get removed if the file is opened in a newer version of Excel. Learn more: https://go.microsoft.com/fwlink/?linkid=870924
Comment:
    Get regular (quarterly) reports from the Mayors on progress toward the implementation of the CAP.</t>
      </text>
    </comment>
    <comment ref="E17" authorId="10" shapeId="0" xr:uid="{4190763F-BFF9-4408-88B4-656AEA3CA4A5}">
      <text>
        <t>[Threaded comment]
Your version of Excel allows you to read this threaded comment; however, any edits to it will get removed if the file is opened in a newer version of Excel. Learn more: https://go.microsoft.com/fwlink/?linkid=870924
Comment:
    We replaced "implemented activities" with "approved interventions" to emphasize the fact that here we cannot talk about activities but interventions since in the CAP, intervention is used to described the different WASH products that need to be delivered at the commune level. "Approved" means that  the interventions on which HANWASH or partners are working on should be assigned by local authorities to reinforce local leadership.</t>
      </text>
    </comment>
    <comment ref="D19" authorId="11" shapeId="0" xr:uid="{66501159-B26C-4DA3-8E63-BC00C84A8309}">
      <text>
        <t>[Threaded comment]
Your version of Excel allows you to read this threaded comment; however, any edits to it will get removed if the file is opened in a newer version of Excel. Learn more: https://go.microsoft.com/fwlink/?linkid=870924
Comment:
    Get regular (quarterly) reports from the Mayors on progress towards this indicator.
Reply:
    Alex will create a form and train the Mayors on using it.</t>
      </text>
    </comment>
    <comment ref="E20" authorId="12" shapeId="0" xr:uid="{C0736B27-9B5F-4D4A-9F38-571ACA2D2EC3}">
      <text>
        <t>[Threaded comment]
Your version of Excel allows you to read this threaded comment; however, any edits to it will get removed if the file is opened in a newer version of Excel. Learn more: https://go.microsoft.com/fwlink/?linkid=870924
Comment:
    For more specificity, we added "...under HANWASH initiative…"</t>
      </text>
    </comment>
    <comment ref="F23" authorId="13" shapeId="0" xr:uid="{1B2D37A0-EC05-4A56-9885-9326B4A53D50}">
      <text>
        <t xml:space="preserve">[Threaded comment]
Your version of Excel allows you to read this threaded comment; however, any edits to it will get removed if the file is opened in a newer version of Excel. Learn more: https://go.microsoft.com/fwlink/?linkid=870924
Comment:
    I believe it's important to measure this indicator to foster Service Providers' responsiveness. </t>
      </text>
    </comment>
    <comment ref="F24" authorId="14" shapeId="0" xr:uid="{24521260-4324-4D8D-B953-735DC4D78329}">
      <text>
        <t xml:space="preserve">[Threaded comment]
Your version of Excel allows you to read this threaded comment; however, any edits to it will get removed if the file is opened in a newer version of Excel. Learn more: https://go.microsoft.com/fwlink/?linkid=870924
Comment:
    I believe it's important to measure this indicator to foster Service Providers' responsiveness. </t>
      </text>
    </comment>
    <comment ref="E31" authorId="15" shapeId="0" xr:uid="{519FBD6B-5ACE-475F-853B-A2302A67E88B}">
      <text>
        <t>[Threaded comment]
Your version of Excel allows you to read this threaded comment; however, any edits to it will get removed if the file is opened in a newer version of Excel. Learn more: https://go.microsoft.com/fwlink/?linkid=870924
Comment:
    Added “or a budget with surplus” to make the indicator capture the whole picture.</t>
      </text>
    </comment>
    <comment ref="E32" authorId="16" shapeId="0" xr:uid="{8BB900B5-90B1-4475-9380-E5E8019F384B}">
      <text>
        <t xml:space="preserve">[Threaded comment]
Your version of Excel allows you to read this threaded comment; however, any edits to it will get removed if the file is opened in a newer version of Excel. Learn more: https://go.microsoft.com/fwlink/?linkid=870924
Comment:
    For more specificity in the indicator wording, I would suggest: "# of people in intervention communes with access to basic drinking water service through community managed water points" </t>
      </text>
    </comment>
    <comment ref="E33" authorId="17" shapeId="0" xr:uid="{A9723640-AD47-4954-80D1-7410DA306CEE}">
      <text>
        <t xml:space="preserve">[Threaded comment]
Your version of Excel allows you to read this threaded comment; however, any edits to it will get removed if the file is opened in a newer version of Excel. Learn more: https://go.microsoft.com/fwlink/?linkid=870924
Comment:
    For more specificity in the indicator wording, I would suggest: "# of people in intervention communes with access to safely managed drinking water service through professionally operated piped water systems" </t>
      </text>
    </comment>
    <comment ref="E37" authorId="18" shapeId="0" xr:uid="{B8C4B537-A597-4C92-BB05-70610F8FA6DD}">
      <text>
        <t xml:space="preserve">[Threaded comment]
Your version of Excel allows you to read this threaded comment; however, any edits to it will get removed if the file is opened in a newer version of Excel. Learn more: https://go.microsoft.com/fwlink/?linkid=870924
Comment:
     added "...in the intervention communities" for more specificity. </t>
      </text>
    </comment>
    <comment ref="E39" authorId="19" shapeId="0" xr:uid="{8CED7A75-E775-4C03-B4F0-E5541A8EA939}">
      <text>
        <t>[Threaded comment]
Your version of Excel allows you to read this threaded comment; however, any edits to it will get removed if the file is opened in a newer version of Excel. Learn more: https://go.microsoft.com/fwlink/?linkid=870924
Comment:
    I replaced "people" by "population"</t>
      </text>
    </comment>
    <comment ref="C43" authorId="20" shapeId="0" xr:uid="{2AF8F92B-7B6C-4C68-B119-BC8FFD2B2F4E}">
      <text>
        <t>[Threaded comment]
Your version of Excel allows you to read this threaded comment; however, any edits to it will get removed if the file is opened in a newer version of Excel. Learn more: https://go.microsoft.com/fwlink/?linkid=870924
Comment:
    Who will fund those public Water infrastructures? Which management structures can be established to make those public (schools and healthcare facilities) Water infrastructures sustainable? Is it realistic to say that the Households will pay a surplus fee to cover operational cost for schools and Healthcare facilities water infrastructures?</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tc={C8CB361B-A42C-4207-8FAC-8BFAD1826145}</author>
    <author>tc={7D3367ED-7CFF-423F-AB17-13A29274B320}</author>
    <author>tc={E195A7E9-B52A-4060-99EB-25CB2D065A69}</author>
    <author>tc={CA45B1DE-12CB-4CF9-814E-BE7762BA7548}</author>
    <author>tc={B455841E-46AB-4DB4-A79E-CDFAAE52466B}</author>
    <author>tc={3CB57F2B-729D-403E-AD16-0859690A5A70}</author>
    <author>tc={EE93F749-3833-4328-935D-03483901A3FB}</author>
    <author>tc={79057732-62A2-4CE9-B77D-0FC0760F1132}</author>
    <author>tc={1ADF5211-8CE7-4CBF-A442-720838DCD716}</author>
    <author>tc={331A30D4-9CC6-456A-9A88-1C583DE641E1}</author>
    <author>tc={9FE5097D-4EB6-48AA-93AF-04367E221075}</author>
    <author>tc={2088EDA0-BBC9-46D3-A9E2-26B99AAEFF2B}</author>
    <author>tc={EE77DC46-580E-48D9-BCF2-10180B851596}</author>
    <author>tc={E3DA670B-030B-4A56-A712-1C19BEC20949}</author>
    <author>tc={A90DE91C-B071-4C2B-AB15-B46B83C1FE54}</author>
    <author>tc={3BCF50F8-A909-4628-B1D4-E2D10C4961F8}</author>
    <author>tc={6ADC3B83-15DA-44B8-8B80-F73911884D82}</author>
    <author>tc={519D959D-46F6-47F6-8F98-5D4D1DA7118A}</author>
    <author>tc={683C43A0-3651-4960-92F3-D74B145A75CA}</author>
    <author>tc={CFAFC523-E114-4F25-8B4B-1CB715813755}</author>
    <author>tc={49DACF3D-0572-460C-ACB7-D8AD2BD841B9}</author>
  </authors>
  <commentList>
    <comment ref="D11" authorId="0" shapeId="0" xr:uid="{C8CB361B-A42C-4207-8FAC-8BFAD1826145}">
      <text>
        <t>[Threaded comment]
Your version of Excel allows you to read this threaded comment; however, any edits to it will get removed if the file is opened in a newer version of Excel. Learn more: https://go.microsoft.com/fwlink/?linkid=870924
Comment:
    Uniquely identifies each Indicator. The numerical part specifies the objective that it is measuring, and the alphabetical part allows there to be multiple indicators for a single objective.</t>
      </text>
    </comment>
    <comment ref="F11" authorId="1" shapeId="0" xr:uid="{7D3367ED-7CFF-423F-AB17-13A29274B320}">
      <text>
        <t>[Threaded comment]
Your version of Excel allows you to read this threaded comment; however, any edits to it will get removed if the file is opened in a newer version of Excel. Learn more: https://go.microsoft.com/fwlink/?linkid=870924
Comment:
    This column contains definitions of any key terms in the description.</t>
      </text>
    </comment>
    <comment ref="G11" authorId="2" shapeId="0" xr:uid="{E195A7E9-B52A-4060-99EB-25CB2D065A69}">
      <text>
        <t>[Threaded comment]
Your version of Excel allows you to read this threaded comment; however, any edits to it will get removed if the file is opened in a newer version of Excel. Learn more: https://go.microsoft.com/fwlink/?linkid=870924
Comment:
    The unit used to provide context to the indicator value. For indicators measured as a percent, the Units specifies the denominator of the percent calculation e.g. % of intervention water points = (numerical indicator value)/(number of intervention water points)</t>
      </text>
    </comment>
    <comment ref="H11" authorId="3" shapeId="0" xr:uid="{CA45B1DE-12CB-4CF9-814E-BE7762BA7548}">
      <text>
        <t xml:space="preserve">[Threaded comment]
Your version of Excel allows you to read this threaded comment; however, any edits to it will get removed if the file is opened in a newer version of Excel. Learn more: https://go.microsoft.com/fwlink/?linkid=870924
Comment:
    In service: The data form has already been created and used previously. 
Needs mods: Some modification to the current data form may be necessary.
Needs training: All of the appropriate stakeholders have not been trained on its usage.
</t>
      </text>
    </comment>
    <comment ref="J11" authorId="4" shapeId="0" xr:uid="{B455841E-46AB-4DB4-A79E-CDFAAE52466B}">
      <text>
        <t>[Threaded comment]
Your version of Excel allows you to read this threaded comment; however, any edits to it will get removed if the file is opened in a newer version of Excel. Learn more: https://go.microsoft.com/fwlink/?linkid=870924
Comment:
    These are the factors by which an indicator can be grouped (aggregation) or split into (disaggregation).</t>
      </text>
    </comment>
    <comment ref="R11" authorId="5" shapeId="0" xr:uid="{3CB57F2B-729D-403E-AD16-0859690A5A70}">
      <text>
        <t>[Threaded comment]
Your version of Excel allows you to read this threaded comment; however, any edits to it will get removed if the file is opened in a newer version of Excel. Learn more: https://go.microsoft.com/fwlink/?linkid=870924
Comment:
    The symbol "-", indicators that no new data collection is needed to validate this information.</t>
      </text>
    </comment>
    <comment ref="D14" authorId="6" shapeId="0" xr:uid="{EE93F749-3833-4328-935D-03483901A3FB}">
      <text>
        <t>[Threaded comment]
Your version of Excel allows you to read this threaded comment; however, any edits to it will get removed if the file is opened in a newer version of Excel. Learn more: https://go.microsoft.com/fwlink/?linkid=870924
Comment:
    Ask the RC President to share this data with us.</t>
      </text>
    </comment>
    <comment ref="D15" authorId="7" shapeId="0" xr:uid="{79057732-62A2-4CE9-B77D-0FC0760F1132}">
      <text>
        <t>[Threaded comment]
Your version of Excel allows you to read this threaded comment; however, any edits to it will get removed if the file is opened in a newer version of Excel. Learn more: https://go.microsoft.com/fwlink/?linkid=870924
Comment:
    Ask the RC President to share this data with us.</t>
      </text>
    </comment>
    <comment ref="D16" authorId="8" shapeId="0" xr:uid="{1ADF5211-8CE7-4CBF-A442-720838DCD716}">
      <text>
        <t>[Threaded comment]
Your version of Excel allows you to read this threaded comment; however, any edits to it will get removed if the file is opened in a newer version of Excel. Learn more: https://go.microsoft.com/fwlink/?linkid=870924
Comment:
    Ask the RC President to share this data with us.</t>
      </text>
    </comment>
    <comment ref="D17" authorId="9" shapeId="0" xr:uid="{331A30D4-9CC6-456A-9A88-1C583DE641E1}">
      <text>
        <t>[Threaded comment]
Your version of Excel allows you to read this threaded comment; however, any edits to it will get removed if the file is opened in a newer version of Excel. Learn more: https://go.microsoft.com/fwlink/?linkid=870924
Comment:
    Get regular (quarterly) reports from the Mayors on progress toward the implementation of the CAP.</t>
      </text>
    </comment>
    <comment ref="E17" authorId="10" shapeId="0" xr:uid="{9FE5097D-4EB6-48AA-93AF-04367E221075}">
      <text>
        <t>[Threaded comment]
Your version of Excel allows you to read this threaded comment; however, any edits to it will get removed if the file is opened in a newer version of Excel. Learn more: https://go.microsoft.com/fwlink/?linkid=870924
Comment:
    We replaced "implemented activities" with "approved interventions" to emphasize the fact that here we cannot talk about activities but interventions since in the CAP, intervention is used to described the different WASH products that need to be delivered at the commune level. "Approved" means that  the interventions on which HANWASH or partners are working on should be assigned by local authorities to reinforce local leadership.</t>
      </text>
    </comment>
    <comment ref="D19" authorId="11" shapeId="0" xr:uid="{2088EDA0-BBC9-46D3-A9E2-26B99AAEFF2B}">
      <text>
        <t>[Threaded comment]
Your version of Excel allows you to read this threaded comment; however, any edits to it will get removed if the file is opened in a newer version of Excel. Learn more: https://go.microsoft.com/fwlink/?linkid=870924
Comment:
    Get regular (quarterly) reports from the Mayors on progress towards this indicator.
Reply:
    Alex will create a form and train the Mayors on using it.</t>
      </text>
    </comment>
    <comment ref="E20" authorId="12" shapeId="0" xr:uid="{EE77DC46-580E-48D9-BCF2-10180B851596}">
      <text>
        <t>[Threaded comment]
Your version of Excel allows you to read this threaded comment; however, any edits to it will get removed if the file is opened in a newer version of Excel. Learn more: https://go.microsoft.com/fwlink/?linkid=870924
Comment:
    For more specificity, we added "...under HANWASH initiative…"</t>
      </text>
    </comment>
    <comment ref="F23" authorId="13" shapeId="0" xr:uid="{E3DA670B-030B-4A56-A712-1C19BEC20949}">
      <text>
        <t xml:space="preserve">[Threaded comment]
Your version of Excel allows you to read this threaded comment; however, any edits to it will get removed if the file is opened in a newer version of Excel. Learn more: https://go.microsoft.com/fwlink/?linkid=870924
Comment:
    I believe it's important to measure this indicator to foster Service Providers' responsiveness. </t>
      </text>
    </comment>
    <comment ref="F24" authorId="14" shapeId="0" xr:uid="{A90DE91C-B071-4C2B-AB15-B46B83C1FE54}">
      <text>
        <t xml:space="preserve">[Threaded comment]
Your version of Excel allows you to read this threaded comment; however, any edits to it will get removed if the file is opened in a newer version of Excel. Learn more: https://go.microsoft.com/fwlink/?linkid=870924
Comment:
    I believe it's important to measure this indicator to foster Service Providers' responsiveness. </t>
      </text>
    </comment>
    <comment ref="E31" authorId="15" shapeId="0" xr:uid="{3BCF50F8-A909-4628-B1D4-E2D10C4961F8}">
      <text>
        <t>[Threaded comment]
Your version of Excel allows you to read this threaded comment; however, any edits to it will get removed if the file is opened in a newer version of Excel. Learn more: https://go.microsoft.com/fwlink/?linkid=870924
Comment:
    Added “or a budget with surplus” to make the indicator capture the whole picture.</t>
      </text>
    </comment>
    <comment ref="E32" authorId="16" shapeId="0" xr:uid="{6ADC3B83-15DA-44B8-8B80-F73911884D82}">
      <text>
        <t xml:space="preserve">[Threaded comment]
Your version of Excel allows you to read this threaded comment; however, any edits to it will get removed if the file is opened in a newer version of Excel. Learn more: https://go.microsoft.com/fwlink/?linkid=870924
Comment:
    For more specificity in the indicator wording, I would suggest: "# of people in intervention communes with access to basic drinking water service through community managed water points" </t>
      </text>
    </comment>
    <comment ref="E33" authorId="17" shapeId="0" xr:uid="{519D959D-46F6-47F6-8F98-5D4D1DA7118A}">
      <text>
        <t xml:space="preserve">[Threaded comment]
Your version of Excel allows you to read this threaded comment; however, any edits to it will get removed if the file is opened in a newer version of Excel. Learn more: https://go.microsoft.com/fwlink/?linkid=870924
Comment:
    For more specificity in the indicator wording, I would suggest: "# of people in intervention communes with access to safely managed drinking water service through professionally operated piped water systems" </t>
      </text>
    </comment>
    <comment ref="E37" authorId="18" shapeId="0" xr:uid="{683C43A0-3651-4960-92F3-D74B145A75CA}">
      <text>
        <t xml:space="preserve">[Threaded comment]
Your version of Excel allows you to read this threaded comment; however, any edits to it will get removed if the file is opened in a newer version of Excel. Learn more: https://go.microsoft.com/fwlink/?linkid=870924
Comment:
     added "...in the intervention communities" for more specificity. </t>
      </text>
    </comment>
    <comment ref="E39" authorId="19" shapeId="0" xr:uid="{CFAFC523-E114-4F25-8B4B-1CB715813755}">
      <text>
        <t>[Threaded comment]
Your version of Excel allows you to read this threaded comment; however, any edits to it will get removed if the file is opened in a newer version of Excel. Learn more: https://go.microsoft.com/fwlink/?linkid=870924
Comment:
    I replaced "people" by "population"</t>
      </text>
    </comment>
    <comment ref="C43" authorId="20" shapeId="0" xr:uid="{49DACF3D-0572-460C-ACB7-D8AD2BD841B9}">
      <text>
        <t>[Threaded comment]
Your version of Excel allows you to read this threaded comment; however, any edits to it will get removed if the file is opened in a newer version of Excel. Learn more: https://go.microsoft.com/fwlink/?linkid=870924
Comment:
    Who will fund those public Water infrastructures? Which management structures can be established to make those public (schools and healthcare facilities) Water infrastructures sustainable? Is it realistic to say that the Households will pay a surplus fee to cover operational cost for schools and Healthcare facilities water infrastructures?</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tc={7301982F-7F8C-46B9-8856-D8B3425BA3ED}</author>
    <author>tc={7E03B9E5-19C8-4195-8F14-A2BE16D96552}</author>
    <author>tc={7B49C97A-A9E7-4305-91A8-F1F26CBA4E17}</author>
    <author>tc={921F6F48-A89B-4835-8871-B9F5629D9BB2}</author>
    <author>tc={CE50B4F3-D0ED-414B-9E9C-673F17C2A81C}</author>
    <author>tc={D68FE5CB-76F8-43FA-905D-89B27CD9F992}</author>
    <author>tc={CDC78242-1E2B-4582-9787-7432BCE28330}</author>
    <author>tc={8BEC7F7D-F0A8-46C5-8B2D-78D39A7C8FE5}</author>
    <author>tc={AC61196E-3E1F-4BAB-B381-815D308DC9AF}</author>
    <author>tc={7E2507F9-77D8-4DE9-9699-517759DE7ADA}</author>
    <author>tc={C854197C-59F3-4431-ABA2-6BAA569C5451}</author>
    <author>tc={68937DA2-2085-4B4C-AB16-2B85A3A4CF57}</author>
    <author>tc={BDB32A69-54F0-40B9-BD17-A54C182140C9}</author>
    <author>tc={676594EE-128F-4767-AB02-D7A3158D3BE8}</author>
    <author>tc={9134F8D4-2C08-40A5-8D53-5F5C031AAC8B}</author>
    <author>tc={1B5F59C7-B65B-47F0-8BC9-EEE02A946D12}</author>
    <author>tc={F11450A9-6265-4D7B-9EC1-BCA523CE4CB1}</author>
    <author>tc={74A6832D-1A54-4F39-93AA-E86513D0BBD0}</author>
    <author>tc={63280546-71C7-46F0-9515-F883DA38DB4B}</author>
    <author>tc={0EA18E9E-1EC9-4EE2-88C9-E738F928792A}</author>
    <author>tc={660C972F-8BA9-405F-A715-FD57899BFF01}</author>
  </authors>
  <commentList>
    <comment ref="D11" authorId="0" shapeId="0" xr:uid="{7301982F-7F8C-46B9-8856-D8B3425BA3ED}">
      <text>
        <t>[Threaded comment]
Your version of Excel allows you to read this threaded comment; however, any edits to it will get removed if the file is opened in a newer version of Excel. Learn more: https://go.microsoft.com/fwlink/?linkid=870924
Comment:
    Uniquely identifies each Indicator. The numerical part specifies the objective that it is measuring, and the alphabetical part allows there to be multiple indicators for a single objective.</t>
      </text>
    </comment>
    <comment ref="F11" authorId="1" shapeId="0" xr:uid="{7E03B9E5-19C8-4195-8F14-A2BE16D96552}">
      <text>
        <t>[Threaded comment]
Your version of Excel allows you to read this threaded comment; however, any edits to it will get removed if the file is opened in a newer version of Excel. Learn more: https://go.microsoft.com/fwlink/?linkid=870924
Comment:
    This column contains definitions of any key terms in the description.</t>
      </text>
    </comment>
    <comment ref="G11" authorId="2" shapeId="0" xr:uid="{7B49C97A-A9E7-4305-91A8-F1F26CBA4E17}">
      <text>
        <t>[Threaded comment]
Your version of Excel allows you to read this threaded comment; however, any edits to it will get removed if the file is opened in a newer version of Excel. Learn more: https://go.microsoft.com/fwlink/?linkid=870924
Comment:
    The unit used to provide context to the indicator value. For indicators measured as a percent, the Units specifies the denominator of the percent calculation e.g. % of intervention water points = (numerical indicator value)/(number of intervention water points)</t>
      </text>
    </comment>
    <comment ref="H11" authorId="3" shapeId="0" xr:uid="{921F6F48-A89B-4835-8871-B9F5629D9BB2}">
      <text>
        <t xml:space="preserve">[Threaded comment]
Your version of Excel allows you to read this threaded comment; however, any edits to it will get removed if the file is opened in a newer version of Excel. Learn more: https://go.microsoft.com/fwlink/?linkid=870924
Comment:
    In service: The data form has already been created and used previously. 
Needs mods: Some modification to the current data form may be necessary.
Needs training: All of the appropriate stakeholders have not been trained on its usage.
</t>
      </text>
    </comment>
    <comment ref="J11" authorId="4" shapeId="0" xr:uid="{CE50B4F3-D0ED-414B-9E9C-673F17C2A81C}">
      <text>
        <t>[Threaded comment]
Your version of Excel allows you to read this threaded comment; however, any edits to it will get removed if the file is opened in a newer version of Excel. Learn more: https://go.microsoft.com/fwlink/?linkid=870924
Comment:
    These are the factors by which an indicator can be grouped (aggregation) or split into (disaggregation).</t>
      </text>
    </comment>
    <comment ref="R11" authorId="5" shapeId="0" xr:uid="{D68FE5CB-76F8-43FA-905D-89B27CD9F992}">
      <text>
        <t>[Threaded comment]
Your version of Excel allows you to read this threaded comment; however, any edits to it will get removed if the file is opened in a newer version of Excel. Learn more: https://go.microsoft.com/fwlink/?linkid=870924
Comment:
    The symbol "-", indicators that no new data collection is needed to validate this information.</t>
      </text>
    </comment>
    <comment ref="D14" authorId="6" shapeId="0" xr:uid="{CDC78242-1E2B-4582-9787-7432BCE28330}">
      <text>
        <t>[Threaded comment]
Your version of Excel allows you to read this threaded comment; however, any edits to it will get removed if the file is opened in a newer version of Excel. Learn more: https://go.microsoft.com/fwlink/?linkid=870924
Comment:
    Ask the RC President to share this data with us.</t>
      </text>
    </comment>
    <comment ref="D15" authorId="7" shapeId="0" xr:uid="{8BEC7F7D-F0A8-46C5-8B2D-78D39A7C8FE5}">
      <text>
        <t>[Threaded comment]
Your version of Excel allows you to read this threaded comment; however, any edits to it will get removed if the file is opened in a newer version of Excel. Learn more: https://go.microsoft.com/fwlink/?linkid=870924
Comment:
    Ask the RC President to share this data with us.</t>
      </text>
    </comment>
    <comment ref="D16" authorId="8" shapeId="0" xr:uid="{AC61196E-3E1F-4BAB-B381-815D308DC9AF}">
      <text>
        <t>[Threaded comment]
Your version of Excel allows you to read this threaded comment; however, any edits to it will get removed if the file is opened in a newer version of Excel. Learn more: https://go.microsoft.com/fwlink/?linkid=870924
Comment:
    Ask the RC President to share this data with us.</t>
      </text>
    </comment>
    <comment ref="D17" authorId="9" shapeId="0" xr:uid="{7E2507F9-77D8-4DE9-9699-517759DE7ADA}">
      <text>
        <t>[Threaded comment]
Your version of Excel allows you to read this threaded comment; however, any edits to it will get removed if the file is opened in a newer version of Excel. Learn more: https://go.microsoft.com/fwlink/?linkid=870924
Comment:
    Get regular (quarterly) reports from the Mayors on progress toward the implementation of the CAP.</t>
      </text>
    </comment>
    <comment ref="E17" authorId="10" shapeId="0" xr:uid="{C854197C-59F3-4431-ABA2-6BAA569C5451}">
      <text>
        <t>[Threaded comment]
Your version of Excel allows you to read this threaded comment; however, any edits to it will get removed if the file is opened in a newer version of Excel. Learn more: https://go.microsoft.com/fwlink/?linkid=870924
Comment:
    We replaced "implemented activities" with "approved interventions" to emphasize the fact that here we cannot talk about activities but interventions since in the CAP, intervention is used to described the different WASH products that need to be delivered at the commune level. "Approved" means that  the interventions on which HANWASH or partners are working on should be assigned by local authorities to reinforce local leadership.</t>
      </text>
    </comment>
    <comment ref="D19" authorId="11" shapeId="0" xr:uid="{68937DA2-2085-4B4C-AB16-2B85A3A4CF57}">
      <text>
        <t>[Threaded comment]
Your version of Excel allows you to read this threaded comment; however, any edits to it will get removed if the file is opened in a newer version of Excel. Learn more: https://go.microsoft.com/fwlink/?linkid=870924
Comment:
    Get regular (quarterly) reports from the Mayors on progress towards this indicator.
Reply:
    Alex will create a form and train the Mayors on using it.</t>
      </text>
    </comment>
    <comment ref="E20" authorId="12" shapeId="0" xr:uid="{BDB32A69-54F0-40B9-BD17-A54C182140C9}">
      <text>
        <t>[Threaded comment]
Your version of Excel allows you to read this threaded comment; however, any edits to it will get removed if the file is opened in a newer version of Excel. Learn more: https://go.microsoft.com/fwlink/?linkid=870924
Comment:
    For more specificity, we added "...under HANWASH initiative…"</t>
      </text>
    </comment>
    <comment ref="F23" authorId="13" shapeId="0" xr:uid="{676594EE-128F-4767-AB02-D7A3158D3BE8}">
      <text>
        <t xml:space="preserve">[Threaded comment]
Your version of Excel allows you to read this threaded comment; however, any edits to it will get removed if the file is opened in a newer version of Excel. Learn more: https://go.microsoft.com/fwlink/?linkid=870924
Comment:
    I believe it's important to measure this indicator to foster Service Providers' responsiveness. </t>
      </text>
    </comment>
    <comment ref="F24" authorId="14" shapeId="0" xr:uid="{9134F8D4-2C08-40A5-8D53-5F5C031AAC8B}">
      <text>
        <t xml:space="preserve">[Threaded comment]
Your version of Excel allows you to read this threaded comment; however, any edits to it will get removed if the file is opened in a newer version of Excel. Learn more: https://go.microsoft.com/fwlink/?linkid=870924
Comment:
    I believe it's important to measure this indicator to foster Service Providers' responsiveness. </t>
      </text>
    </comment>
    <comment ref="E31" authorId="15" shapeId="0" xr:uid="{1B5F59C7-B65B-47F0-8BC9-EEE02A946D12}">
      <text>
        <t>[Threaded comment]
Your version of Excel allows you to read this threaded comment; however, any edits to it will get removed if the file is opened in a newer version of Excel. Learn more: https://go.microsoft.com/fwlink/?linkid=870924
Comment:
    Added “or a budget with surplus” to make the indicator capture the whole picture.</t>
      </text>
    </comment>
    <comment ref="E32" authorId="16" shapeId="0" xr:uid="{F11450A9-6265-4D7B-9EC1-BCA523CE4CB1}">
      <text>
        <t xml:space="preserve">[Threaded comment]
Your version of Excel allows you to read this threaded comment; however, any edits to it will get removed if the file is opened in a newer version of Excel. Learn more: https://go.microsoft.com/fwlink/?linkid=870924
Comment:
    For more specificity in the indicator wording, I would suggest: "# of people in intervention communes with access to basic drinking water service through community managed water points" </t>
      </text>
    </comment>
    <comment ref="E33" authorId="17" shapeId="0" xr:uid="{74A6832D-1A54-4F39-93AA-E86513D0BBD0}">
      <text>
        <t xml:space="preserve">[Threaded comment]
Your version of Excel allows you to read this threaded comment; however, any edits to it will get removed if the file is opened in a newer version of Excel. Learn more: https://go.microsoft.com/fwlink/?linkid=870924
Comment:
    For more specificity in the indicator wording, I would suggest: "# of people in intervention communes with access to safely managed drinking water service through professionally operated piped water systems" </t>
      </text>
    </comment>
    <comment ref="E37" authorId="18" shapeId="0" xr:uid="{63280546-71C7-46F0-9515-F883DA38DB4B}">
      <text>
        <t xml:space="preserve">[Threaded comment]
Your version of Excel allows you to read this threaded comment; however, any edits to it will get removed if the file is opened in a newer version of Excel. Learn more: https://go.microsoft.com/fwlink/?linkid=870924
Comment:
     added "...in the intervention communities" for more specificity. </t>
      </text>
    </comment>
    <comment ref="E39" authorId="19" shapeId="0" xr:uid="{0EA18E9E-1EC9-4EE2-88C9-E738F928792A}">
      <text>
        <t>[Threaded comment]
Your version of Excel allows you to read this threaded comment; however, any edits to it will get removed if the file is opened in a newer version of Excel. Learn more: https://go.microsoft.com/fwlink/?linkid=870924
Comment:
    I replaced "people" by "population"</t>
      </text>
    </comment>
    <comment ref="C43" authorId="20" shapeId="0" xr:uid="{660C972F-8BA9-405F-A715-FD57899BFF01}">
      <text>
        <t>[Threaded comment]
Your version of Excel allows you to read this threaded comment; however, any edits to it will get removed if the file is opened in a newer version of Excel. Learn more: https://go.microsoft.com/fwlink/?linkid=870924
Comment:
    Who will fund those public Water infrastructures? Which management structures can be established to make those public (schools and healthcare facilities) Water infrastructures sustainable? Is it realistic to say that the Households will pay a surplus fee to cover operational cost for schools and Healthcare facilities water infrastructures?</t>
      </text>
    </comment>
  </commentList>
</comments>
</file>

<file path=xl/sharedStrings.xml><?xml version="1.0" encoding="utf-8"?>
<sst xmlns="http://schemas.openxmlformats.org/spreadsheetml/2006/main" count="9764" uniqueCount="597">
  <si>
    <r>
      <rPr>
        <b/>
        <sz val="12"/>
        <color rgb="FF000000"/>
        <rFont val="Calibri"/>
        <family val="2"/>
        <scheme val="minor"/>
      </rPr>
      <t xml:space="preserve">Organization: </t>
    </r>
    <r>
      <rPr>
        <sz val="12"/>
        <color rgb="FF000000"/>
        <rFont val="Calibri"/>
        <family val="2"/>
        <scheme val="minor"/>
      </rPr>
      <t>HANWASH</t>
    </r>
  </si>
  <si>
    <r>
      <rPr>
        <b/>
        <sz val="12"/>
        <color rgb="FF000000"/>
        <rFont val="Calibri"/>
        <family val="2"/>
        <scheme val="minor"/>
      </rPr>
      <t xml:space="preserve">Document: </t>
    </r>
    <r>
      <rPr>
        <sz val="12"/>
        <color rgb="FF000000"/>
        <rFont val="Calibri"/>
        <family val="2"/>
        <scheme val="minor"/>
      </rPr>
      <t>Mattson logic model</t>
    </r>
  </si>
  <si>
    <r>
      <rPr>
        <b/>
        <sz val="12"/>
        <color rgb="FF000000"/>
        <rFont val="Calibri"/>
        <family val="2"/>
        <scheme val="minor"/>
      </rPr>
      <t xml:space="preserve">Objective: </t>
    </r>
    <r>
      <rPr>
        <sz val="12"/>
        <color rgb="FF000000"/>
        <rFont val="Calibri"/>
        <family val="2"/>
        <scheme val="minor"/>
      </rPr>
      <t>Define the objectives of the program.</t>
    </r>
  </si>
  <si>
    <r>
      <rPr>
        <b/>
        <sz val="12"/>
        <color rgb="FF000000"/>
        <rFont val="Calibri"/>
        <family val="2"/>
        <scheme val="minor"/>
      </rPr>
      <t xml:space="preserve">Scope: </t>
    </r>
    <r>
      <rPr>
        <sz val="12"/>
        <color rgb="FF000000"/>
        <rFont val="Calibri"/>
        <family val="2"/>
        <scheme val="minor"/>
      </rPr>
      <t>Mattson Program</t>
    </r>
  </si>
  <si>
    <r>
      <rPr>
        <b/>
        <u/>
        <sz val="12"/>
        <color rgb="FF0563C1"/>
        <rFont val="Calibri"/>
        <family val="2"/>
        <scheme val="minor"/>
      </rPr>
      <t xml:space="preserve">Reference link: </t>
    </r>
    <r>
      <rPr>
        <u/>
        <sz val="12"/>
        <color rgb="FF0563C1"/>
        <rFont val="Calibri"/>
        <family val="2"/>
        <scheme val="minor"/>
      </rPr>
      <t>Click here</t>
    </r>
  </si>
  <si>
    <r>
      <rPr>
        <b/>
        <sz val="12"/>
        <color rgb="FF000000"/>
        <rFont val="Calibri"/>
        <family val="2"/>
        <scheme val="minor"/>
      </rPr>
      <t xml:space="preserve">Version number: </t>
    </r>
    <r>
      <rPr>
        <sz val="12"/>
        <color rgb="FF000000"/>
        <rFont val="Calibri"/>
        <family val="2"/>
        <scheme val="minor"/>
      </rPr>
      <t>2.5</t>
    </r>
  </si>
  <si>
    <t>Version date: January 30, 2024</t>
  </si>
  <si>
    <r>
      <rPr>
        <b/>
        <sz val="12"/>
        <color rgb="FF000000"/>
        <rFont val="Calibri"/>
        <family val="2"/>
        <scheme val="minor"/>
      </rPr>
      <t>Notes:</t>
    </r>
    <r>
      <rPr>
        <sz val="12"/>
        <color rgb="FF000000"/>
        <rFont val="Calibri"/>
        <family val="2"/>
        <scheme val="minor"/>
      </rPr>
      <t xml:space="preserve"> The lower level objectives should cause the higher level objectives. Objectives 2230, 2400,2410,2420,2430 are not in the scope of this program.</t>
    </r>
  </si>
  <si>
    <t>Type</t>
  </si>
  <si>
    <t>Description</t>
  </si>
  <si>
    <t>Ultimate outcome</t>
  </si>
  <si>
    <t>Intermediate outcomes</t>
  </si>
  <si>
    <t>Expanded reach and resources leveraged through collective action with other national and international actors.​</t>
  </si>
  <si>
    <t>Immediate outcomes</t>
  </si>
  <si>
    <t>Increased government and non-government funding in alignment with HANWASH Core Values.</t>
  </si>
  <si>
    <t>Increased capacity of DINEPA to regulate the sector and OREPA to oversee and support implementation.</t>
  </si>
  <si>
    <t>Outputs</t>
  </si>
  <si>
    <t>​1310</t>
  </si>
  <si>
    <t>Mobilize and coordinate funding from government and non-government sources in HANWASH program areas in alignment with HANWASH Core Values.</t>
  </si>
  <si>
    <t>Conduct leadership training of DINEPA and OREPA personnel.</t>
  </si>
  <si>
    <t>Certify the sustained usage of hygiene services.</t>
  </si>
  <si>
    <t>Mobilize and influence funding from government and non-government sources beyond HANWASH program areas in alignment with HANWASH Core Values.</t>
  </si>
  <si>
    <t>Provide technical assistance and training to DINEPA and the OREPAs.</t>
  </si>
  <si>
    <t>ID</t>
  </si>
  <si>
    <t>Indicator group</t>
  </si>
  <si>
    <t>Category</t>
  </si>
  <si>
    <t>Category_code</t>
  </si>
  <si>
    <t>Category_code_description</t>
  </si>
  <si>
    <t>Indicator</t>
  </si>
  <si>
    <t>Definitions</t>
  </si>
  <si>
    <t>Units</t>
  </si>
  <si>
    <t>Baseline Value</t>
  </si>
  <si>
    <t>Planned Value</t>
  </si>
  <si>
    <t>current_value</t>
  </si>
  <si>
    <t>Indicator Type</t>
  </si>
  <si>
    <t>Increased access to safe, sustainable and affordable water, sanitation and hygiene (WASH) services in Haiti​.</t>
  </si>
  <si>
    <t>-</t>
  </si>
  <si>
    <t>Intermediate outcome</t>
  </si>
  <si>
    <t>Strengthened demand for and management of WASH services in communes.</t>
  </si>
  <si>
    <t>1100a</t>
  </si>
  <si>
    <t>Immediate outcome</t>
  </si>
  <si>
    <t>Increased civil society engagement in decision making and implementation of WASH services.</t>
  </si>
  <si>
    <t>Percentage of commune-level WASH events that have active Haitian Rotarians participation, measured as a proportion of total reported events.</t>
  </si>
  <si>
    <t>% of total commune level WASH events reported</t>
  </si>
  <si>
    <t>1100b</t>
  </si>
  <si>
    <t>% of total number of participants in WASH project team meeting which are Haitian rotarians (disaggregated by RC) (Host club should set the target)</t>
  </si>
  <si>
    <t>% of total number of participants in WASH project team meeting</t>
  </si>
  <si>
    <t>1110a</t>
  </si>
  <si>
    <t>Support civil society engagement in the WASH sector.​</t>
  </si>
  <si>
    <t>Total number of field visits conducted quarterly by Rotarians in the intervention communities.</t>
  </si>
  <si>
    <t># of field visits</t>
  </si>
  <si>
    <t>1200a</t>
  </si>
  <si>
    <t>Improved commune WASH planning and coordination by local authorities.​</t>
  </si>
  <si>
    <t>Percentage of the interventions that have received formal approval/assignment from the Mayors offices through a demand letter or other written documents which have been implemented or are in-process by HANWASH or its partners. The approved interventions are subsets of the commune action plans which are assigned to HANWASH or its partners by the Mayor's Offices.</t>
  </si>
  <si>
    <t>% of implemented activities</t>
  </si>
  <si>
    <t>1210a</t>
  </si>
  <si>
    <t>Create or improve commune action plans that focus on water, sanitation and hygiene, and water resource management.​</t>
  </si>
  <si>
    <t>Number of communes with comprehensive action plans that explicitly address all four WASH aspects: Water, Sanitation, Hygiene, and Water Resources Management.</t>
  </si>
  <si>
    <t>communes</t>
  </si>
  <si>
    <t>1220a</t>
  </si>
  <si>
    <t>Facilitate coordination meetings between commune WASH stakeholders.</t>
  </si>
  <si>
    <t>Number of WASH planning and coordination events conducted with DINEPA and municipal officials per month, fostering collaboration and alignment.</t>
  </si>
  <si>
    <t>events/month</t>
  </si>
  <si>
    <t>1300a</t>
  </si>
  <si>
    <t>Improved accountability of service providers to users of WASH services.​</t>
  </si>
  <si>
    <t>A service provider is defined as the management structure in charge of a water system (“SAEP”) or a community-managed well (“CPE”). This indicator measures the % of service providers regularly (i.e. monthly) submitting reports to DINEPA and local authorities, according to the DINEPA's requirements in terms of indicators to be captured and data to be shared.</t>
  </si>
  <si>
    <t>% of the total number of service providers which received the HANWASH intervention in the target communes</t>
  </si>
  <si>
    <t>1300b</t>
  </si>
  <si>
    <r>
      <t xml:space="preserve">Percentage of intervention service providers that have a score of accountability of 11 out of 11.
</t>
    </r>
    <r>
      <rPr>
        <b/>
        <sz val="12"/>
        <color rgb="FF000000"/>
        <rFont val="Calibri"/>
        <family val="2"/>
        <scheme val="minor"/>
      </rPr>
      <t>The service provider is 100% accountable if:</t>
    </r>
    <r>
      <rPr>
        <sz val="12"/>
        <color rgb="FF000000"/>
        <rFont val="Calibri"/>
        <family val="2"/>
        <scheme val="minor"/>
      </rPr>
      <t xml:space="preserve">
1) CPE or Operator team meets regularly (see OREPA bylaws)
2) CPE or Operator meets with community regularly (see OREPA bylaws)
3) CPE or Operator  signed bylaws with OREPA and apply them
4) Water usage fees are collected on a monthly basis from the subscribers
5) Deposits are made on a monthly basis on the bank account and records are available; 
6) Reports are submitted to OREPA and the local authorities on a monthly basis
7) Water treatment is done regularly, in alignment with OREPA's requirements
8) Water potability test is done at the water points or the water system regularly, in alignment with OREPA's requirements (at least once every quarter for the community water points)
9) Number of days out of service in the event of a water infrastructure breakdown doesn't exceed five days.
10) The service provider pays monthly to OREPA a percentage of the total revenue being collected (see OREPA bylaws)
11) Election is held every three years to renew the CPE members</t>
    </r>
  </si>
  <si>
    <t>% of intervention water points</t>
  </si>
  <si>
    <t>1300c</t>
  </si>
  <si>
    <t>This indicator measures the proportion of the water customers from the intervention communes which are satisfied with the quality, affordability and reliability of the WASH services provided</t>
  </si>
  <si>
    <t>% of households connected to the water systems</t>
  </si>
  <si>
    <t>1310a</t>
  </si>
  <si>
    <t>Monitor WASH service performance and satisfaction.</t>
  </si>
  <si>
    <t>This indicator measures how long it takes on average for the service providers to resolve breakdown of the water infrastructure. 
The indicator is disaggregated by type of management structure in charge of the water infrastructures:  CPEs, CAEPA/CTE/OP.</t>
  </si>
  <si>
    <t>Days</t>
  </si>
  <si>
    <t>1310b</t>
  </si>
  <si>
    <t>This indicator measures the average number of days of drinking water service provided to the users during the month by the service providers.
The indicator is disaggregated by type of management structure in charge of the water infrastructures:  CPEs, CAEPA/CTE/OP.</t>
  </si>
  <si>
    <t>1310c</t>
  </si>
  <si>
    <t>This indicator measures the number of on-site inspection visits conducted annually by OREPA in the intervention communes</t>
  </si>
  <si>
    <t>on-site inspection visits</t>
  </si>
  <si>
    <t>1310d</t>
  </si>
  <si>
    <t>The percentage of the total water user fees that were successfully collected from subscribers by the service providers within a quarter, compared to the total amount billed or expected during that period. This indicator is disaggregated by type of service provider (CPE, professional operator, CAEPA, CTE).</t>
  </si>
  <si>
    <t>% of total amount of water fees billed or expected during the quarter</t>
  </si>
  <si>
    <t>1320a</t>
  </si>
  <si>
    <t>Review service provider performance with stakeholders.</t>
  </si>
  <si>
    <t>This indicator measures the number of communes within the program area that have conducted at least one formal, documented annual review meeting in the past 12 months to assess the performance of water and sanitation service providers. The review must involve key stakeholders, including the Commune Committee (CASEC/ASEC or local authorities), users (e.g., representatives of community water users), service providers (e.g., water system operators), and implementing partners (e.g., NGOs, donors, or government agencies involved in WASH service delivery).
Key Criteria for Counting a Commune as Having Met the Indicator:
1) A service provider performance review meeting was held within the last 12 months.
2) The meeting was convened or co-organized by the commune authority or another recognized coordinating body.
3) Representatives from all five stakeholder groups (OREPA, Commune Committee, users, service providers, implementing partners) were invited and at least three attended.
4) The meeting included a structured agenda covering topics such as service quality, financial performance, user satisfaction, and challenges.
5) Meeting minutes or a summary report was produced and made available to participants.</t>
  </si>
  <si>
    <t>Enhanced household access to and use of sustainable, affordable, and safe water, sanitation and hygiene services.​</t>
  </si>
  <si>
    <t>2100b</t>
  </si>
  <si>
    <t>Increased household access to sustainable, affordable, and safe drinking water services.​</t>
  </si>
  <si>
    <r>
      <rPr>
        <sz val="12"/>
        <color rgb="FF000000"/>
        <rFont val="Calibri"/>
        <family val="2"/>
        <scheme val="minor"/>
      </rPr>
      <t>Percentage of population in intervention communes with access to at least basic drinking water service, defined as an improved water source within 30 minutes round trip.</t>
    </r>
    <r>
      <rPr>
        <b/>
        <sz val="12"/>
        <color rgb="FF000000"/>
        <rFont val="Calibri"/>
        <family val="2"/>
        <scheme val="minor"/>
      </rPr>
      <t xml:space="preserve">
"...at least basic drinking water service":
</t>
    </r>
    <r>
      <rPr>
        <sz val="12"/>
        <color rgb="FF000000"/>
        <rFont val="Calibri"/>
        <family val="2"/>
        <scheme val="minor"/>
      </rPr>
      <t xml:space="preserve">1) Improved water source (according to the JMP classification)
2) Within 30 min round trip
</t>
    </r>
    <r>
      <rPr>
        <b/>
        <sz val="12"/>
        <color rgb="FF000000"/>
        <rFont val="Calibri"/>
        <family val="2"/>
        <scheme val="minor"/>
      </rPr>
      <t xml:space="preserve">Note: </t>
    </r>
    <r>
      <rPr>
        <sz val="12"/>
        <color rgb="FF000000"/>
        <rFont val="Calibri"/>
        <family val="2"/>
        <scheme val="minor"/>
      </rPr>
      <t>This also includes basic and safely managed water service.</t>
    </r>
  </si>
  <si>
    <t>% of people in the commune</t>
  </si>
  <si>
    <t>2100c</t>
  </si>
  <si>
    <r>
      <t>Percentage of population in intervention communes with access to safely managed drinking water service, defined as an improved water source accessible on premises, available when needed, and free from contamination.</t>
    </r>
    <r>
      <rPr>
        <b/>
        <sz val="12"/>
        <color rgb="FF000000"/>
        <rFont val="Calibri"/>
        <family val="2"/>
        <scheme val="minor"/>
      </rPr>
      <t xml:space="preserve">
"Safely managed drinking water service":
</t>
    </r>
    <r>
      <rPr>
        <sz val="12"/>
        <color rgb="FF000000"/>
        <rFont val="Calibri"/>
        <family val="2"/>
        <scheme val="minor"/>
      </rPr>
      <t>1) Improved water source (according to the JMP classification)
2) Accessible on premises
3) Available when needed
4) Free from E. Coli and priority contaminants</t>
    </r>
  </si>
  <si>
    <t>2100d</t>
  </si>
  <si>
    <r>
      <t>Percentage of intervention water points that are functioning, potable, and financially sustainable (balanced or surplus budget) after 2 years of operation.</t>
    </r>
    <r>
      <rPr>
        <b/>
        <sz val="12"/>
        <color rgb="FF000000"/>
        <rFont val="Calibri"/>
        <family val="2"/>
        <scheme val="minor"/>
      </rPr>
      <t xml:space="preserve">
1a) Functional: </t>
    </r>
    <r>
      <rPr>
        <sz val="12"/>
        <color rgb="FF000000"/>
        <rFont val="Calibri"/>
        <family val="2"/>
        <scheme val="minor"/>
      </rPr>
      <t>Water point is in good working condition and regularly provides water according the specifications in the original design.</t>
    </r>
    <r>
      <rPr>
        <b/>
        <sz val="12"/>
        <color rgb="FF000000"/>
        <rFont val="Calibri"/>
        <family val="2"/>
        <scheme val="minor"/>
      </rPr>
      <t xml:space="preserve">
OR
1b) Partially functional but in need of repair: </t>
    </r>
    <r>
      <rPr>
        <sz val="12"/>
        <color rgb="FF000000"/>
        <rFont val="Calibri"/>
        <family val="2"/>
        <scheme val="minor"/>
      </rPr>
      <t>Water point provides water on a regular basis (possibly in a reduced capacity) but repairs are needed due to some maintenance issue or change in conditions at the site.</t>
    </r>
    <r>
      <rPr>
        <b/>
        <sz val="12"/>
        <color rgb="FF000000"/>
        <rFont val="Calibri"/>
        <family val="2"/>
        <scheme val="minor"/>
      </rPr>
      <t xml:space="preserve">
2) "Potable": </t>
    </r>
    <r>
      <rPr>
        <sz val="12"/>
        <color rgb="FF000000"/>
        <rFont val="Calibri"/>
        <family val="2"/>
        <scheme val="minor"/>
      </rPr>
      <t>Free from E. Coli and priority contaminants, as measured by quarterly water potability tests performed by the Water Point Committee.</t>
    </r>
    <r>
      <rPr>
        <b/>
        <sz val="12"/>
        <color rgb="FF000000"/>
        <rFont val="Calibri"/>
        <family val="2"/>
        <scheme val="minor"/>
      </rPr>
      <t xml:space="preserve">
3) "financially sustainable (balanced or surplus budget)": </t>
    </r>
    <r>
      <rPr>
        <sz val="12"/>
        <color rgb="FF000000"/>
        <rFont val="Calibri"/>
        <family val="2"/>
        <scheme val="minor"/>
      </rPr>
      <t xml:space="preserve">See PPT presentation with definition of financial sustainability of the community-managed water points.
</t>
    </r>
    <r>
      <rPr>
        <b/>
        <sz val="12"/>
        <color rgb="FF000000"/>
        <rFont val="Calibri"/>
        <family val="2"/>
        <scheme val="minor"/>
      </rPr>
      <t>4) "after 2 years"</t>
    </r>
    <r>
      <rPr>
        <sz val="12"/>
        <color rgb="FF000000"/>
        <rFont val="Calibri"/>
        <family val="2"/>
        <scheme val="minor"/>
      </rPr>
      <t>: Two years from the inauguration date of each intervention water point.</t>
    </r>
  </si>
  <si>
    <t>2110a</t>
  </si>
  <si>
    <t xml:space="preserve">Develop community managed water points. </t>
  </si>
  <si>
    <r>
      <t>Number of people in intervention communes gaining access to basic drinking water service through community-managed water points built or rehabilitated by HANWASH and its partners.</t>
    </r>
    <r>
      <rPr>
        <b/>
        <sz val="12"/>
        <color rgb="FF000000"/>
        <rFont val="Calibri"/>
        <family val="2"/>
        <scheme val="minor"/>
      </rPr>
      <t xml:space="preserve">
"Basic drinking water service":
</t>
    </r>
    <r>
      <rPr>
        <sz val="12"/>
        <color rgb="FF000000"/>
        <rFont val="Calibri"/>
        <family val="2"/>
        <scheme val="minor"/>
      </rPr>
      <t>1) Improved water source (according to the JMP classification)
2) Within 30 min round trip
3) [Household level]</t>
    </r>
  </si>
  <si>
    <t>people</t>
  </si>
  <si>
    <t>2120a</t>
  </si>
  <si>
    <t>Rehabilitate and expand professionally operated piped water systems.</t>
  </si>
  <si>
    <r>
      <t>Number of people newly provided with safely managed drinking water service, meeting WHO/UNICEF Joint Monitoring Programme (JMP) criteria.</t>
    </r>
    <r>
      <rPr>
        <b/>
        <sz val="12"/>
        <color rgb="FF000000"/>
        <rFont val="Calibri"/>
        <family val="2"/>
        <scheme val="minor"/>
      </rPr>
      <t xml:space="preserve">
"Safely managed drinking water service":
</t>
    </r>
    <r>
      <rPr>
        <sz val="12"/>
        <color rgb="FF000000"/>
        <rFont val="Calibri"/>
        <family val="2"/>
        <scheme val="minor"/>
      </rPr>
      <t>1) Improved water source (According to the JMP classification)
2) Available on premises
3) Available when needed
4) Free from E. Coli and priority contaminants, as measured by quarterly water quality testing performed by the Water Points Committees.</t>
    </r>
  </si>
  <si>
    <t>2200a</t>
  </si>
  <si>
    <t>Increased household access to sustainable, affordable, and safe sanitation services.​</t>
  </si>
  <si>
    <r>
      <rPr>
        <sz val="12"/>
        <color rgb="FF000000"/>
        <rFont val="Calibri"/>
        <family val="2"/>
        <scheme val="minor"/>
      </rPr>
      <t>Percentage of intervention communities verified as Open Defecation Free (ODF), by the commune WASH committee.</t>
    </r>
    <r>
      <rPr>
        <b/>
        <sz val="12"/>
        <color rgb="FF000000"/>
        <rFont val="Calibri"/>
        <family val="2"/>
        <scheme val="minor"/>
      </rPr>
      <t xml:space="preserve">
"Verified ODF":
</t>
    </r>
    <r>
      <rPr>
        <sz val="12"/>
        <color rgb="FF000000"/>
        <rFont val="Calibri"/>
        <family val="2"/>
        <scheme val="minor"/>
      </rPr>
      <t>0) [Verification conducted by commune WASH committee]
1) 100% of households have a toilet that has been used at least once
2) Toilets meet the minimum standards of hygiene, privacy, and security and are in alignment with DINEPA's minimum standards
3) Areas of defecation identified during contact visits, reported no evidence of fecal matter
4) Schools attended by 80% of children comply with hygiene standards
5) Main market frequented by the population has a usable sanitary block or a formal step has been undertaken for this purpose
6) There is a willingness of the community to maintain a state of ODF</t>
    </r>
  </si>
  <si>
    <t>% of total # of intervention communities</t>
  </si>
  <si>
    <t>2200b</t>
  </si>
  <si>
    <t>Percentage of intervention communities that have been certified as Open Defecation Free (ODF) by the Communal Committee and OREPA, maintaining verified ODF status for at least one year.</t>
  </si>
  <si>
    <t>2200c</t>
  </si>
  <si>
    <r>
      <t xml:space="preserve">Percentage of population in intervention communes with access to at least basic sanitation service, defined as improved and unshared facilities.
</t>
    </r>
    <r>
      <rPr>
        <b/>
        <sz val="12"/>
        <color rgb="FF000000"/>
        <rFont val="Calibri"/>
        <family val="2"/>
        <scheme val="minor"/>
      </rPr>
      <t xml:space="preserve">
"...at least basic sanitation service": 
Basic
</t>
    </r>
    <r>
      <rPr>
        <sz val="12"/>
        <color rgb="FF000000"/>
        <rFont val="Calibri"/>
        <family val="2"/>
        <scheme val="minor"/>
      </rPr>
      <t xml:space="preserve">1) Improved (According to the JMP classification)
2) Unshared
3) [Household level]
</t>
    </r>
    <r>
      <rPr>
        <b/>
        <sz val="12"/>
        <color rgb="FF000000"/>
        <rFont val="Calibri"/>
        <family val="2"/>
        <scheme val="minor"/>
      </rPr>
      <t xml:space="preserve">Note: </t>
    </r>
    <r>
      <rPr>
        <sz val="12"/>
        <color rgb="FF000000"/>
        <rFont val="Calibri"/>
        <family val="2"/>
        <scheme val="minor"/>
      </rPr>
      <t>Includes basic and safely managed sanitation service.</t>
    </r>
  </si>
  <si>
    <t>% of total # of people in the commune</t>
  </si>
  <si>
    <t>2210a</t>
  </si>
  <si>
    <t>Mobilize communities to achieve Open Defecation Free status</t>
  </si>
  <si>
    <r>
      <t>Number of people who newly gained access to basic sanitation service in the intervention communes, as a result of HANWASH interventions.</t>
    </r>
    <r>
      <rPr>
        <b/>
        <sz val="12"/>
        <color rgb="FF000000"/>
        <rFont val="Calibri"/>
        <family val="2"/>
        <scheme val="minor"/>
      </rPr>
      <t xml:space="preserve">
"Basic sanitation service":
</t>
    </r>
    <r>
      <rPr>
        <sz val="12"/>
        <color rgb="FF000000"/>
        <rFont val="Calibri"/>
        <family val="2"/>
        <scheme val="minor"/>
      </rPr>
      <t>1) Improved (according to the JMP classification)
2) Unshared
3) [Household level]</t>
    </r>
  </si>
  <si>
    <t>2230a</t>
  </si>
  <si>
    <t>Construct public latrines.</t>
  </si>
  <si>
    <t>Number of public latrines constructed, improving sanitation access in communal areas.</t>
  </si>
  <si>
    <t>Public toilet blocks</t>
  </si>
  <si>
    <t>2300a</t>
  </si>
  <si>
    <t>Increased household access to hygiene services.</t>
  </si>
  <si>
    <r>
      <t xml:space="preserve">Percentage of population in intervention communes with access to at least basic hygiene service, defined as presence of a handwashing facility with soap and water on premises.
</t>
    </r>
    <r>
      <rPr>
        <b/>
        <sz val="12"/>
        <color rgb="FF000000"/>
        <rFont val="Calibri"/>
        <family val="2"/>
        <scheme val="minor"/>
      </rPr>
      <t xml:space="preserve">
"...at least basic hygiene service" (according to the JMP classification):
</t>
    </r>
    <r>
      <rPr>
        <sz val="12"/>
        <color rgb="FF000000"/>
        <rFont val="Calibri"/>
        <family val="2"/>
        <scheme val="minor"/>
      </rPr>
      <t xml:space="preserve">1) Presence of a Hanwashing facility on premises
2) Presence of soap and water
</t>
    </r>
    <r>
      <rPr>
        <b/>
        <sz val="12"/>
        <color rgb="FF000000"/>
        <rFont val="Calibri"/>
        <family val="2"/>
        <scheme val="minor"/>
      </rPr>
      <t>Notes:</t>
    </r>
    <r>
      <rPr>
        <sz val="12"/>
        <color rgb="FF000000"/>
        <rFont val="Calibri"/>
        <family val="2"/>
        <scheme val="minor"/>
      </rPr>
      <t xml:space="preserve"> Also include people with access to hygiene services higher than basic. (</t>
    </r>
    <r>
      <rPr>
        <i/>
        <sz val="12"/>
        <color rgb="FF000000"/>
        <rFont val="Calibri"/>
        <family val="2"/>
        <scheme val="minor"/>
      </rPr>
      <t>we don't know yet what this looks like</t>
    </r>
    <r>
      <rPr>
        <sz val="12"/>
        <color rgb="FF000000"/>
        <rFont val="Calibri"/>
        <family val="2"/>
        <scheme val="minor"/>
      </rPr>
      <t>)</t>
    </r>
  </si>
  <si>
    <t>% of people within intervention communities</t>
  </si>
  <si>
    <t>2310a</t>
  </si>
  <si>
    <t>Train skilled community animators to deliver hygiene trainings and community mobilization.​</t>
  </si>
  <si>
    <t>Number of community animators/coaches trained to provide leadership and WASH training to people in the intervention communities.</t>
  </si>
  <si>
    <t>animators/coaches</t>
  </si>
  <si>
    <t>2310b</t>
  </si>
  <si>
    <t>Cumulative number of hours of leadership and WASH training delivered by trained community animators/coaches.
This indicator measures the intensity of leadership and WASH training delivered by the community animators. It is the sum of hours the community animator spends providing those trainings to people in the intervention communities.</t>
  </si>
  <si>
    <t>Cumulative number of hours of training</t>
  </si>
  <si>
    <t>2320a</t>
  </si>
  <si>
    <r>
      <t>Number of people newly gaining access to basic hygiene service in the intervention communes as a result of HANWASH and partners interventions.</t>
    </r>
    <r>
      <rPr>
        <b/>
        <sz val="12"/>
        <color rgb="FF000000"/>
        <rFont val="Calibri"/>
        <family val="2"/>
        <scheme val="minor"/>
      </rPr>
      <t xml:space="preserve">
"Basic hygiene service":
</t>
    </r>
    <r>
      <rPr>
        <sz val="12"/>
        <color rgb="FF000000"/>
        <rFont val="Calibri"/>
        <family val="2"/>
        <scheme val="minor"/>
      </rPr>
      <t>1) Presence of a handwashing facility on premises
2) Presence of soap and water
3) [Household level]</t>
    </r>
  </si>
  <si>
    <t>2400a</t>
  </si>
  <si>
    <t>Increased access to sustainable, safe drinking water, sanitation, and hygiene materials in healthcare facilities, schools, and public places.</t>
  </si>
  <si>
    <r>
      <t>Percentage of schools in intervention communes with basic drinking water, sanitation, and hygiene services, meeting WHO/UNICEF JMP criteria for schools.
'</t>
    </r>
    <r>
      <rPr>
        <b/>
        <sz val="12"/>
        <color rgb="FF000000"/>
        <rFont val="Calibri"/>
        <family val="2"/>
        <scheme val="minor"/>
      </rPr>
      <t xml:space="preserve">"Basic drinking water service":
</t>
    </r>
    <r>
      <rPr>
        <sz val="12"/>
        <color rgb="FF000000"/>
        <rFont val="Calibri"/>
        <family val="2"/>
        <scheme val="minor"/>
      </rPr>
      <t xml:space="preserve">1) Improved
2) Currently available
</t>
    </r>
    <r>
      <rPr>
        <b/>
        <sz val="12"/>
        <color rgb="FF000000"/>
        <rFont val="Calibri"/>
        <family val="2"/>
        <scheme val="minor"/>
      </rPr>
      <t>"Basic sanitation service":</t>
    </r>
    <r>
      <rPr>
        <sz val="12"/>
        <color rgb="FF000000"/>
        <rFont val="Calibri"/>
        <family val="2"/>
        <scheme val="minor"/>
      </rPr>
      <t xml:space="preserve">
1) Improved
2) Usable
3) Gender separated toilets available
</t>
    </r>
    <r>
      <rPr>
        <b/>
        <sz val="12"/>
        <color rgb="FF000000"/>
        <rFont val="Calibri"/>
        <family val="2"/>
        <scheme val="minor"/>
      </rPr>
      <t>"Basic hygiene service":</t>
    </r>
    <r>
      <rPr>
        <sz val="12"/>
        <color rgb="FF000000"/>
        <rFont val="Calibri"/>
        <family val="2"/>
        <scheme val="minor"/>
      </rPr>
      <t xml:space="preserve">
1) Presence of handwashing facilities
2) Presence of soap and water</t>
    </r>
  </si>
  <si>
    <t>% of total number of schools in intervention communes</t>
  </si>
  <si>
    <t>2400b</t>
  </si>
  <si>
    <t>Percentage of healthcare facilities in intervention areas with basic drinking water, sanitation, and hygiene services, meeting WHO/UNICEF JMP criteria for healthcare facilities.
"Basic drinking water service":
1) Improved
2) On premises
3) Currently available
"Basic sanitation service":
1) Improved
2) Usable
3) Dedicated for staff
4) Sex-separated with menstrual hygiene facilities
5) Accessible for users with limited mobility
"Basic hygiene service":
...At points of care
1) Facilities present
2) Soap and water or alcohol based hand rub present
...At toilets
1) Within 5 m of toilets
2) Facilities present
3) Soap and water present</t>
  </si>
  <si>
    <t>% of total number of healthcare facilities in intervention communes</t>
  </si>
  <si>
    <t>2410a</t>
  </si>
  <si>
    <t>Construct or rehabilitate water supply for healthcare facilities and schools.</t>
  </si>
  <si>
    <r>
      <t>Number of schools newly provided with basic drinking water services in intervention communes, as a result of HANWASH and partners' interventions, meeting WHO/UNICEF JMP criteria for schools.</t>
    </r>
    <r>
      <rPr>
        <b/>
        <sz val="12"/>
        <color rgb="FF000000"/>
        <rFont val="Calibri"/>
        <family val="2"/>
        <scheme val="minor"/>
      </rPr>
      <t xml:space="preserve">
"Basic drinking water service":
</t>
    </r>
    <r>
      <rPr>
        <sz val="12"/>
        <color rgb="FF000000"/>
        <rFont val="Calibri"/>
        <family val="2"/>
        <scheme val="minor"/>
      </rPr>
      <t>1) Improved
2) Currently available
3) potable</t>
    </r>
  </si>
  <si>
    <t>schools</t>
  </si>
  <si>
    <t>2410b</t>
  </si>
  <si>
    <r>
      <t>Number of healthcare facilities newly provided with basic drinking water services in intervention communes, as a result of HANWASH and partners' interventions, meeting WHO/UNICEF JMP criteria for healthcare facilities.</t>
    </r>
    <r>
      <rPr>
        <b/>
        <sz val="12"/>
        <color rgb="FF000000"/>
        <rFont val="Calibri"/>
        <family val="2"/>
        <scheme val="minor"/>
      </rPr>
      <t xml:space="preserve">
"Basic drinking water service":
</t>
    </r>
    <r>
      <rPr>
        <sz val="12"/>
        <color rgb="FF000000"/>
        <rFont val="Calibri"/>
        <family val="2"/>
        <scheme val="minor"/>
      </rPr>
      <t>1) Improved
2) On premises
3) Currently available
4) Potable</t>
    </r>
  </si>
  <si>
    <t>healthcare facilities</t>
  </si>
  <si>
    <t>2420a</t>
  </si>
  <si>
    <t>Construct communal, healthcare facility, and school latrines.</t>
  </si>
  <si>
    <r>
      <t>Number of schools newly provided with basic sanitation services in the intervention communes, as a result of HANWASH and partners' interventions, meeting WHO/UNICEF JMP criteria for schools.</t>
    </r>
    <r>
      <rPr>
        <b/>
        <sz val="12"/>
        <color rgb="FF000000"/>
        <rFont val="Calibri"/>
        <family val="2"/>
        <scheme val="minor"/>
      </rPr>
      <t xml:space="preserve">
"Basic sanitation service":
</t>
    </r>
    <r>
      <rPr>
        <sz val="12"/>
        <color rgb="FF000000"/>
        <rFont val="Calibri"/>
        <family val="2"/>
        <scheme val="minor"/>
      </rPr>
      <t>1) Improved
2) Usable
3) Gender separated toilets available</t>
    </r>
  </si>
  <si>
    <t>2420b</t>
  </si>
  <si>
    <r>
      <t>Number of healthcare facilities newly provided with basic sanitation services in the intervention communes, as a result of HANWASH and partners' interventions, meeting WHO/UNICEF JMP criteria for healthcare facilities.</t>
    </r>
    <r>
      <rPr>
        <b/>
        <sz val="12"/>
        <color rgb="FF000000"/>
        <rFont val="Calibri"/>
        <family val="2"/>
        <scheme val="minor"/>
      </rPr>
      <t xml:space="preserve">
"Basic sanitation services":
</t>
    </r>
    <r>
      <rPr>
        <sz val="12"/>
        <color rgb="FF000000"/>
        <rFont val="Calibri"/>
        <family val="2"/>
        <scheme val="minor"/>
      </rPr>
      <t>1) Improved
2) Usable
3) Separated for staff and patients
4) Gender separated with menstrual hygiene facilities
5) Accessible for users with limited mobility</t>
    </r>
  </si>
  <si>
    <t>2430a</t>
  </si>
  <si>
    <t>Work with (local authorities, civil society) to ensure access to soap or alcohol-based handrub at schools and healthcare facilities.</t>
  </si>
  <si>
    <r>
      <t>Number of schools newly provided with basic hygiene services in the intervention communes, as a result of HANWASH and partners' interventions, meeting WHO/UNICEF JMP criteria for schools.</t>
    </r>
    <r>
      <rPr>
        <b/>
        <sz val="12"/>
        <color rgb="FF000000"/>
        <rFont val="Calibri"/>
        <family val="2"/>
        <scheme val="minor"/>
      </rPr>
      <t xml:space="preserve">
"Basic hygiene":
</t>
    </r>
    <r>
      <rPr>
        <sz val="12"/>
        <color rgb="FF000000"/>
        <rFont val="Calibri"/>
        <family val="2"/>
        <scheme val="minor"/>
      </rPr>
      <t>1) Presence of handwashing facilities
2) Presence of soap and water</t>
    </r>
  </si>
  <si>
    <t>2430b</t>
  </si>
  <si>
    <r>
      <t>Number of healthcare facilities newly provided with basic hygiene services in the intervention communes, as a result of HANWASH and partners' interventions, meeting WHO/UNICEF JMP criteria for healthcare facilities.</t>
    </r>
    <r>
      <rPr>
        <b/>
        <sz val="12"/>
        <color rgb="FF000000"/>
        <rFont val="Calibri"/>
        <family val="2"/>
        <scheme val="minor"/>
      </rPr>
      <t xml:space="preserve">
"Basic hygiene":
</t>
    </r>
    <r>
      <rPr>
        <i/>
        <sz val="12"/>
        <color rgb="FF000000"/>
        <rFont val="Calibri"/>
        <family val="2"/>
        <scheme val="minor"/>
      </rPr>
      <t xml:space="preserve">...At points of care
</t>
    </r>
    <r>
      <rPr>
        <sz val="12"/>
        <color rgb="FF000000"/>
        <rFont val="Calibri"/>
        <family val="2"/>
        <scheme val="minor"/>
      </rPr>
      <t xml:space="preserve">1) Facilities present
2) Soap and water or alcohol based hand rub present
</t>
    </r>
    <r>
      <rPr>
        <i/>
        <sz val="12"/>
        <color rgb="FF000000"/>
        <rFont val="Calibri"/>
        <family val="2"/>
        <scheme val="minor"/>
      </rPr>
      <t xml:space="preserve">...At toilets
</t>
    </r>
    <r>
      <rPr>
        <sz val="12"/>
        <color rgb="FF000000"/>
        <rFont val="Calibri"/>
        <family val="2"/>
        <scheme val="minor"/>
      </rPr>
      <t>1) Within 5 m of toilets
2) Facilities present
3) Soap and water present</t>
    </r>
  </si>
  <si>
    <t>3100a</t>
  </si>
  <si>
    <r>
      <t xml:space="preserve">Cumulative amount of money (in USD) committed to projects aligned with HANWASH Core Values: local leadership, collaboration, systematic approach, impact, and commitment.
</t>
    </r>
    <r>
      <rPr>
        <b/>
        <sz val="12"/>
        <color rgb="FF000000"/>
        <rFont val="Calibri"/>
        <family val="2"/>
        <scheme val="minor"/>
      </rPr>
      <t xml:space="preserve">
Aligned with HANWASH Core Values:
</t>
    </r>
    <r>
      <rPr>
        <sz val="12"/>
        <color rgb="FF000000"/>
        <rFont val="Calibri"/>
        <family val="2"/>
        <scheme val="minor"/>
      </rPr>
      <t>**LOCALLY LED**
We strengthen community participation in governance of WASH infrastructure and services.
**COLLABORATIVE**
Volunteers, government authorities, and partners are meaningfully engaged, and a MOU is signed among the parties.
### **SYSTEMATIC**
We will be thoughtful and consistent in planning, doing, and improving our work.**
**IMPACTFUL**
Sustainability is a key metric of our success.
 **COMMITTED**
We will not stop until the job is done.</t>
    </r>
  </si>
  <si>
    <t>USD</t>
  </si>
  <si>
    <t>3100b</t>
  </si>
  <si>
    <t>Percentage of committed funds that have been spent, calculated as (Cumulative_amount_spent / Cumulative_amount_committed) * 100.</t>
  </si>
  <si>
    <t>% of amount committeed</t>
  </si>
  <si>
    <t>3110a</t>
  </si>
  <si>
    <t>Cumulative amount of money (in USD) spent by external (non-rotarian) actors within HANWASH project areas, aligned with HANWASH Core Values.</t>
  </si>
  <si>
    <t>3120a</t>
  </si>
  <si>
    <t>Cumulative amount of money (in USD) spent by external (non-rotarian) actors beyond HANWASH project areas but still within the WASH sector and aligned with HANWASH Core Values, extending impact.</t>
  </si>
  <si>
    <t>3200a</t>
  </si>
  <si>
    <t>Percentage of implementing partners in HANWASH program areas who have signed the DINEPA Accord Cadre, ensuring alignment with national standards.
(Number of IPs who have signed the Accord Cadre / Total number of IPs in HANWASH program areas) x 100</t>
  </si>
  <si>
    <t>% of implementing partners in HANWASH program areas</t>
  </si>
  <si>
    <t>3220a</t>
  </si>
  <si>
    <r>
      <t>Number of technical trainings provided for DINEPA priority areas, focusing on key topics such as unified national tariff methodology and ODF certification.</t>
    </r>
    <r>
      <rPr>
        <b/>
        <sz val="12"/>
        <color rgb="FF000000"/>
        <rFont val="Calibri"/>
        <family val="2"/>
        <scheme val="minor"/>
      </rPr>
      <t xml:space="preserve">
Priorities areas for 2023-24: </t>
    </r>
    <r>
      <rPr>
        <sz val="12"/>
        <color rgb="FF000000"/>
        <rFont val="Calibri"/>
        <family val="2"/>
        <scheme val="minor"/>
      </rPr>
      <t>Unified national tariff methodology &amp; ODF certification.
Priorities areas for 2024-2025: ?
Priorities areas for 2025-2026: ?</t>
    </r>
  </si>
  <si>
    <t>trainings</t>
  </si>
  <si>
    <r>
      <t xml:space="preserve">Organization: </t>
    </r>
    <r>
      <rPr>
        <sz val="12"/>
        <color theme="1"/>
        <rFont val="Calibri"/>
        <family val="2"/>
        <scheme val="minor"/>
      </rPr>
      <t>HANWASH</t>
    </r>
  </si>
  <si>
    <t>Legend</t>
  </si>
  <si>
    <r>
      <rPr>
        <b/>
        <sz val="12"/>
        <color rgb="FF000000"/>
        <rFont val="Calibri"/>
        <family val="2"/>
        <scheme val="minor"/>
      </rPr>
      <t xml:space="preserve">Document: </t>
    </r>
    <r>
      <rPr>
        <sz val="12"/>
        <color rgb="FF000000"/>
        <rFont val="Calibri"/>
        <family val="2"/>
        <scheme val="minor"/>
      </rPr>
      <t>Indicator framework</t>
    </r>
  </si>
  <si>
    <r>
      <rPr>
        <b/>
        <sz val="12"/>
        <color rgb="FF000000"/>
        <rFont val="Calibri"/>
        <family val="2"/>
        <scheme val="minor"/>
      </rPr>
      <t>TBD'</t>
    </r>
    <r>
      <rPr>
        <sz val="12"/>
        <color rgb="FF000000"/>
        <rFont val="Calibri"/>
        <family val="2"/>
        <scheme val="minor"/>
      </rPr>
      <t xml:space="preserve"> To be determined</t>
    </r>
  </si>
  <si>
    <r>
      <t xml:space="preserve">Objective: </t>
    </r>
    <r>
      <rPr>
        <sz val="12"/>
        <color theme="1"/>
        <rFont val="Calibri"/>
        <family val="2"/>
        <scheme val="minor"/>
      </rPr>
      <t>Define indicators to measure progress towards each objective.</t>
    </r>
  </si>
  <si>
    <r>
      <rPr>
        <b/>
        <sz val="12"/>
        <color theme="1"/>
        <rFont val="Calibri"/>
        <family val="2"/>
        <scheme val="minor"/>
      </rPr>
      <t xml:space="preserve">Scope: </t>
    </r>
    <r>
      <rPr>
        <sz val="12"/>
        <color theme="1"/>
        <rFont val="Calibri"/>
        <family val="2"/>
        <scheme val="minor"/>
      </rPr>
      <t>HANWASH programs</t>
    </r>
  </si>
  <si>
    <t>Objective types</t>
  </si>
  <si>
    <r>
      <rPr>
        <b/>
        <u/>
        <sz val="12"/>
        <color rgb="FF0563C1"/>
        <rFont val="Calibri"/>
        <family val="2"/>
        <scheme val="minor"/>
      </rPr>
      <t>Reference link:</t>
    </r>
    <r>
      <rPr>
        <u/>
        <sz val="12"/>
        <color rgb="FF0563C1"/>
        <rFont val="Calibri"/>
        <family val="2"/>
        <scheme val="minor"/>
      </rPr>
      <t xml:space="preserve"> This document</t>
    </r>
  </si>
  <si>
    <t>The highest level objective of HANWASH. These are not directly measureable by SMART indicators, but measured indirectly via indicators of their component Intermediate Outcomes.</t>
  </si>
  <si>
    <r>
      <rPr>
        <b/>
        <sz val="12"/>
        <color rgb="FF000000"/>
        <rFont val="Calibri"/>
        <family val="2"/>
        <scheme val="minor"/>
      </rPr>
      <t xml:space="preserve">Version number: </t>
    </r>
    <r>
      <rPr>
        <sz val="12"/>
        <color rgb="FF000000"/>
        <rFont val="Calibri"/>
        <family val="2"/>
        <scheme val="minor"/>
      </rPr>
      <t>3</t>
    </r>
  </si>
  <si>
    <t>The component objectives of the HANWASH ultimate outcome. These are not directly measureable by SMART indicators, but measured indirectly via indicators of their component Intermediate Outcomes.</t>
  </si>
  <si>
    <r>
      <rPr>
        <b/>
        <sz val="12"/>
        <color rgb="FF000000"/>
        <rFont val="Calibri"/>
        <family val="2"/>
        <scheme val="minor"/>
      </rPr>
      <t xml:space="preserve">Version date: </t>
    </r>
    <r>
      <rPr>
        <sz val="12"/>
        <color rgb="FF000000"/>
        <rFont val="Calibri"/>
        <family val="2"/>
        <scheme val="minor"/>
      </rPr>
      <t>June 30, 2025</t>
    </r>
  </si>
  <si>
    <t xml:space="preserve">The higher level objective that HANWASH seeks to achieve, which are able to be measured directly by SMART indicators. Indicators measuring these outcomes are typically expressed as a percent, which are harder to measure, but builds the context into the measure. </t>
  </si>
  <si>
    <r>
      <rPr>
        <b/>
        <sz val="12"/>
        <color rgb="FF000000"/>
        <rFont val="Calibri"/>
        <family val="2"/>
        <scheme val="minor"/>
      </rPr>
      <t>Notes:</t>
    </r>
    <r>
      <rPr>
        <sz val="12"/>
        <color rgb="FF000000"/>
        <rFont val="Calibri"/>
        <family val="2"/>
        <scheme val="minor"/>
      </rPr>
      <t xml:space="preserve">  SMART indicators are indicators which are specific, measureable, achievable, relevant, and time-bound.</t>
    </r>
  </si>
  <si>
    <t>Output</t>
  </si>
  <si>
    <t>The lower level objective that HANWASH seeks to achieve. Indicators measuring these outcomes are typically expressed as a number, which is easier to measure, but also easier to take out of context.</t>
  </si>
  <si>
    <t>Objective</t>
  </si>
  <si>
    <t>Data collection</t>
  </si>
  <si>
    <t>Commune validation</t>
  </si>
  <si>
    <t>Data validation and Reporting</t>
  </si>
  <si>
    <t>Notes</t>
  </si>
  <si>
    <t>Code</t>
  </si>
  <si>
    <t>Code_index</t>
  </si>
  <si>
    <t>Status</t>
  </si>
  <si>
    <t>Program</t>
  </si>
  <si>
    <t>(Dis)Aggregation</t>
  </si>
  <si>
    <t>Source</t>
  </si>
  <si>
    <t>Enumerator</t>
  </si>
  <si>
    <t>Type of data collection</t>
  </si>
  <si>
    <t>Frequency</t>
  </si>
  <si>
    <t>Visualization</t>
  </si>
  <si>
    <t>Data source</t>
  </si>
  <si>
    <t>Data Validator</t>
  </si>
  <si>
    <t>Reporting Frequency</t>
  </si>
  <si>
    <t>This objective is split into its component objectives and measured via their indicators</t>
  </si>
  <si>
    <t>% of on-site commune WASH events with Haitian Rotarian participation</t>
  </si>
  <si>
    <t>In service - Needs training</t>
  </si>
  <si>
    <t>Event type, participant group, date, commune</t>
  </si>
  <si>
    <t>Implementation event tracking form</t>
  </si>
  <si>
    <t>M&amp;E RC Focal points</t>
  </si>
  <si>
    <t>Secondary</t>
  </si>
  <si>
    <t>Monthly</t>
  </si>
  <si>
    <t>Implementation monitoring console</t>
  </si>
  <si>
    <t>Interview with the Mayors and the RC Presidents</t>
  </si>
  <si>
    <t>HANWASH M&amp;E Manager</t>
  </si>
  <si>
    <t>Semi-annually</t>
  </si>
  <si>
    <t>System validation consists of an exhaustive desk review of both the PMO and Rotarians forms.</t>
  </si>
  <si>
    <t>Proportion (%) of paricipants in the virtual WASH projects meetings which are Haitian rotarians</t>
  </si>
  <si>
    <t>Not started</t>
  </si>
  <si>
    <t>Mattson</t>
  </si>
  <si>
    <t>Review of existing data</t>
  </si>
  <si>
    <t>Review of existing data from virtual meeting record.</t>
  </si>
  <si>
    <t># of field visits conducted quarterly by Rotarians in the intervention communities</t>
  </si>
  <si>
    <t>% of approved interventions implemented in alignment with Commune Action Plans</t>
  </si>
  <si>
    <t>In service - Needs mods</t>
  </si>
  <si>
    <t>Date, commune</t>
  </si>
  <si>
    <t>Activities form</t>
  </si>
  <si>
    <t>Mayors</t>
  </si>
  <si>
    <t>Project monitoring console</t>
  </si>
  <si>
    <t>Commune action plan</t>
  </si>
  <si>
    <t>Commune WASH committee</t>
  </si>
  <si>
    <t>It's critical that "Activities" planned by HANWASH correspond to those in the commune action plan in the system.</t>
  </si>
  <si>
    <t># of communes with action plans that explicitly include each W,S,H,WRM aspect (water, sanitation, hygiene, water resources management)</t>
  </si>
  <si>
    <t>Annually</t>
  </si>
  <si>
    <t>System validation consists of an exhaustive desk review of reported data</t>
  </si>
  <si>
    <t># of WASH planning and coordination events with DINEPA and municipal officials</t>
  </si>
  <si>
    <t>Mayors &amp; Partner of Implementation</t>
  </si>
  <si>
    <t>System validation consists of a sampled desk review of reported data</t>
  </si>
  <si>
    <r>
      <t xml:space="preserve">% of service providers under HANWASH initiative monitored according to </t>
    </r>
    <r>
      <rPr>
        <sz val="12"/>
        <color rgb="FFFF0000"/>
        <rFont val="Calibri"/>
        <family val="2"/>
        <scheme val="minor"/>
      </rPr>
      <t>DINEPA/OREPA</t>
    </r>
    <r>
      <rPr>
        <sz val="12"/>
        <color theme="1"/>
        <rFont val="Calibri"/>
        <family val="2"/>
        <scheme val="minor"/>
      </rPr>
      <t xml:space="preserve"> guidelines as accepted by the Mayor's Office</t>
    </r>
  </si>
  <si>
    <t>Water point/system, date, commune</t>
  </si>
  <si>
    <t>Water point survey and SAEP monthly report</t>
  </si>
  <si>
    <t>OREPA focal points</t>
  </si>
  <si>
    <t>Water point survey - Audit</t>
  </si>
  <si>
    <t>OREPA Focal Points &amp; HANWASH M&amp;E Manager</t>
  </si>
  <si>
    <t>Third party audit console (TBD)</t>
  </si>
  <si>
    <t>The reporting and system validation forms are the same, just different deployments carried out by different stakeholders. Reporting: PMO. Validation: Third party contractor.</t>
  </si>
  <si>
    <t>% of intervention service providers which are 100% accountable per DINEPA/OREPA and the Mayor's requirements</t>
  </si>
  <si>
    <t>Water point, date, commune</t>
  </si>
  <si>
    <t>Accountability Evaluation Form (TBD)</t>
  </si>
  <si>
    <t>Mayors &amp; OREPA focal points</t>
  </si>
  <si>
    <t>Water point survey</t>
  </si>
  <si>
    <t>% of users being satisfied with the quality, affordability and reliability of the WASH services provided</t>
  </si>
  <si>
    <t>Water point, commune</t>
  </si>
  <si>
    <t>Subscribers Satisfaction Survey (TBD)</t>
  </si>
  <si>
    <t>Water Service provider</t>
  </si>
  <si>
    <t>Primary (on-site survey)</t>
  </si>
  <si>
    <t>Third party contractor</t>
  </si>
  <si>
    <t>Field data collection</t>
  </si>
  <si>
    <t>Average number of days to resolve breakdown of the water infrastructures</t>
  </si>
  <si>
    <t>Water system, date, commune</t>
  </si>
  <si>
    <t>SAEP monthly report, Water point survey</t>
  </si>
  <si>
    <t>Water service provider</t>
  </si>
  <si>
    <t>Average number of days of drinking water service provided during the month by the service providers</t>
  </si>
  <si>
    <t>Number of on-site inspection visits conducted annually by OREPA in the intervention communes</t>
  </si>
  <si>
    <t>OREPA's field inspection reports (TBD)</t>
  </si>
  <si>
    <t>Quarterly</t>
  </si>
  <si>
    <t>Review of OREPA's field inspection reports</t>
  </si>
  <si>
    <t>OREPA Focal Points</t>
  </si>
  <si>
    <t>Water fee collection rate (disaggregated by type of service providers)</t>
  </si>
  <si>
    <t>CPE, professional operator, CAEPA, CTE</t>
  </si>
  <si>
    <t># of communes which have held an annual service provider review with key stakeholders in the last year</t>
  </si>
  <si>
    <t>SAEP monthly report</t>
  </si>
  <si>
    <t>Mayors &amp; Water service provider</t>
  </si>
  <si>
    <t>% of population in intervention communes with at least basic drinking water service</t>
  </si>
  <si>
    <t>Community, date, commune, improved water source, within 30 min round trip</t>
  </si>
  <si>
    <t>Household WASH survey</t>
  </si>
  <si>
    <t>Partner of implementation</t>
  </si>
  <si>
    <t>Household survey - Audit</t>
  </si>
  <si>
    <t>The system validation form is more detailed and precise, but it is a sampled check on the reporting system</t>
  </si>
  <si>
    <t>% of population in intervention communes with safely managed drinking water service</t>
  </si>
  <si>
    <t>Community, date, commune, Improved water source, accessible on premises, available when needed, free from E. Coli and priority contaminants</t>
  </si>
  <si>
    <r>
      <t xml:space="preserve">% of intervention water points which are functional, potable, and have a balanced budget </t>
    </r>
    <r>
      <rPr>
        <sz val="12"/>
        <color theme="1"/>
        <rFont val="Calibri"/>
        <family val="2"/>
        <scheme val="minor"/>
      </rPr>
      <t>or a budget with surplus</t>
    </r>
    <r>
      <rPr>
        <sz val="12"/>
        <color rgb="FF000000"/>
        <rFont val="Calibri"/>
        <family val="2"/>
        <scheme val="minor"/>
      </rPr>
      <t xml:space="preserve"> after 2 years</t>
    </r>
  </si>
  <si>
    <t># of people added to basic drinking water service through community managed water points</t>
  </si>
  <si>
    <t>Water point, gender, age category, improved water source, within 30 min round trip</t>
  </si>
  <si>
    <t># of people added to safely managed drinking water service through water systems newly created or rehabilitated in the intervention communes</t>
  </si>
  <si>
    <t xml:space="preserve">Newly created or rehabilitated Water systems, gender, category of subscribers </t>
  </si>
  <si>
    <t>% of intervention communities which are verified ODF (Open Defecation Free)</t>
  </si>
  <si>
    <t>ODF verification and certification Form</t>
  </si>
  <si>
    <t>Mayors &amp; HANWASH M&amp;E Manager</t>
  </si>
  <si>
    <t>% of  "intervention" communities which are certified ODF (Open Defecation Free)</t>
  </si>
  <si>
    <t>Community, date, commune</t>
  </si>
  <si>
    <t>Commune WASH committee &amp; OREPA Focal Points</t>
  </si>
  <si>
    <t>% of population in intervention communes with at least basic sanitation service</t>
  </si>
  <si>
    <t>In service/Needs mods</t>
  </si>
  <si>
    <t>Gender, age category, date, commune</t>
  </si>
  <si>
    <t>Launch + verification + certification</t>
  </si>
  <si>
    <t>Mayors &amp; OREPA Focal Points &amp; HANWASH M&amp;E Manager</t>
  </si>
  <si>
    <t># of people added to basic sanitation service in the intervention communes</t>
  </si>
  <si>
    <t># of public latrines constructed</t>
  </si>
  <si>
    <t>HANWASH - Master</t>
  </si>
  <si>
    <t>Public latrine form</t>
  </si>
  <si>
    <t>IT IS UNCLEAR HOW THIS FITS INTO HANWASH'S VISION. HOW ARE THESE TOILET BLOCKS MANAGED? IF IT IS A "CASA", THEN THEY CAN BE MANAGED AS ODF COMMUNITIES INSTEAD OF STANDALONE TOILET BLOCKS.</t>
  </si>
  <si>
    <t>% of population in intervention communes with at least basic hygiene service</t>
  </si>
  <si>
    <t>Gender, age category</t>
  </si>
  <si>
    <t>The Household survey - Audit is more detailed and precise, but it is a sampled check on the reporting system</t>
  </si>
  <si>
    <t># of community animators trained</t>
  </si>
  <si>
    <t>Training sessions tracking form (TBD)</t>
  </si>
  <si>
    <t># of hours of hygiene trainings and community mobilization provided by the community animators trained</t>
  </si>
  <si>
    <t>Date, commune, communities</t>
  </si>
  <si>
    <t>Training sessions tracking form</t>
  </si>
  <si>
    <t># of people added to basic hygiene service</t>
  </si>
  <si>
    <t>% of schools with at least basic drinking water, sanitation, and hygiene services</t>
  </si>
  <si>
    <t>Water service level, sanitation service level, hygiene service level, date, commune</t>
  </si>
  <si>
    <t>School WASH form</t>
  </si>
  <si>
    <t>School WASH form - Audit</t>
  </si>
  <si>
    <t>% of healthcare facilities with at least basic drinking water, sanitation, and hygiene services</t>
  </si>
  <si>
    <t>Healthcare facility WASH form</t>
  </si>
  <si>
    <t>Healthcare facility WASH form - Audit</t>
  </si>
  <si>
    <t># of schools added with basic drinking water services</t>
  </si>
  <si>
    <t>Water service level, date, commune</t>
  </si>
  <si>
    <t># of healthcare facilities added with basic drinking water services</t>
  </si>
  <si>
    <t># of schools added with basic sanitation services</t>
  </si>
  <si>
    <t>Sanitation service level, date, commune</t>
  </si>
  <si>
    <t># of healthcare facilities added with basic sanitation services</t>
  </si>
  <si>
    <t># of schools added with basic hygiene</t>
  </si>
  <si>
    <t>Hygiene servicec level, date, commune</t>
  </si>
  <si>
    <t># of healthcare facilities added with basic hygiene</t>
  </si>
  <si>
    <t>Hygiene service level, date, commune</t>
  </si>
  <si>
    <r>
      <t xml:space="preserve">Cumulative amount of money committed in alignment with HANWASH Core Values, </t>
    </r>
    <r>
      <rPr>
        <sz val="12"/>
        <color rgb="FFFF0000"/>
        <rFont val="Calibri"/>
        <family val="2"/>
        <scheme val="minor"/>
      </rPr>
      <t>supported by an MOU signed with HANWASH</t>
    </r>
  </si>
  <si>
    <t>In service</t>
  </si>
  <si>
    <t>Actor, project type date, commune</t>
  </si>
  <si>
    <t>HANWASH financial records &amp; MOU signed with partners</t>
  </si>
  <si>
    <t>HANWASH CFO</t>
  </si>
  <si>
    <t>HANWASH Country Director</t>
  </si>
  <si>
    <t>Since this indicator is completed by the HANWASH M&amp;E Manager, HANWASH should review the results with DINEPA as a check on the reporting system</t>
  </si>
  <si>
    <r>
      <t xml:space="preserve">% of committed money which has been spent (cumulative), </t>
    </r>
    <r>
      <rPr>
        <sz val="12"/>
        <color rgb="FFFF0000"/>
        <rFont val="Calibri"/>
        <family val="2"/>
        <scheme val="minor"/>
      </rPr>
      <t>supported by an MOU signed with HANWASH</t>
    </r>
  </si>
  <si>
    <t>Commune, project, date</t>
  </si>
  <si>
    <r>
      <t xml:space="preserve">Amount of money spent by external actors within HANWASH project areas, </t>
    </r>
    <r>
      <rPr>
        <sz val="12"/>
        <color rgb="FFFF0000"/>
        <rFont val="Calibri"/>
        <family val="2"/>
        <scheme val="minor"/>
      </rPr>
      <t>supported by an MOU signed with HANWASH</t>
    </r>
    <r>
      <rPr>
        <sz val="12"/>
        <color theme="1"/>
        <rFont val="Calibri"/>
        <family val="2"/>
        <scheme val="minor"/>
      </rPr>
      <t xml:space="preserve">
The term "project areas" refers to the geographic locations or regions where a specific project is being implemented or where project activities are taking place.</t>
    </r>
  </si>
  <si>
    <t>Actor, date, commune</t>
  </si>
  <si>
    <r>
      <t xml:space="preserve">Amount of money spent by external actors beyond project areas in alignment with HANWASH Core Values, </t>
    </r>
    <r>
      <rPr>
        <sz val="12"/>
        <color rgb="FFFF0000"/>
        <rFont val="Calibri"/>
        <family val="2"/>
        <scheme val="minor"/>
      </rPr>
      <t>supported by an MOU signed with HANWASH</t>
    </r>
    <r>
      <rPr>
        <sz val="12"/>
        <color theme="1"/>
        <rFont val="Calibri"/>
        <family val="2"/>
        <scheme val="minor"/>
      </rPr>
      <t xml:space="preserve">
The term "project areas" refers to the geographic locations or regions where a specific project is being implemented or where project activities are taking place.</t>
    </r>
  </si>
  <si>
    <t>% of implementing partners in HANWASH program areas who have signed the DINEPA Accord Cadre</t>
  </si>
  <si>
    <t>Post/position, commune, department, date</t>
  </si>
  <si>
    <t>SIEPA Accord Cadre</t>
  </si>
  <si>
    <t>Since this information is contained in SIEPA, the HANWASH M&amp;E Manager should work with ONEPA to aquire the data. Validation</t>
  </si>
  <si>
    <t># of technical trainings provided for DINEPA priority areas</t>
  </si>
  <si>
    <r>
      <rPr>
        <b/>
        <sz val="12"/>
        <color rgb="FF000000"/>
        <rFont val="Calibri"/>
        <family val="2"/>
        <scheme val="minor"/>
      </rPr>
      <t xml:space="preserve">Document: </t>
    </r>
    <r>
      <rPr>
        <sz val="12"/>
        <color rgb="FF000000"/>
        <rFont val="Calibri"/>
        <family val="2"/>
        <scheme val="minor"/>
      </rPr>
      <t>Master logic model</t>
    </r>
  </si>
  <si>
    <r>
      <rPr>
        <b/>
        <sz val="12"/>
        <color rgb="FF000000"/>
        <rFont val="Calibri"/>
        <family val="2"/>
        <scheme val="minor"/>
      </rPr>
      <t>Active objectives -</t>
    </r>
    <r>
      <rPr>
        <sz val="12"/>
        <color rgb="FF000000"/>
        <rFont val="Calibri"/>
        <family val="2"/>
        <scheme val="minor"/>
      </rPr>
      <t xml:space="preserve"> Included in current action plan</t>
    </r>
  </si>
  <si>
    <r>
      <rPr>
        <b/>
        <sz val="12"/>
        <color rgb="FF000000"/>
        <rFont val="Calibri"/>
        <family val="2"/>
        <scheme val="minor"/>
      </rPr>
      <t xml:space="preserve">Inactive objectives - </t>
    </r>
    <r>
      <rPr>
        <sz val="12"/>
        <color rgb="FF000000"/>
        <rFont val="Calibri"/>
        <family val="2"/>
        <scheme val="minor"/>
      </rPr>
      <t>Not included in current action plan</t>
    </r>
  </si>
  <si>
    <r>
      <rPr>
        <b/>
        <sz val="12"/>
        <color theme="1"/>
        <rFont val="Calibri"/>
        <family val="2"/>
        <scheme val="minor"/>
      </rPr>
      <t xml:space="preserve">Scope: </t>
    </r>
    <r>
      <rPr>
        <sz val="12"/>
        <color theme="1"/>
        <rFont val="Calibri"/>
        <family val="2"/>
        <scheme val="minor"/>
      </rPr>
      <t>HANWASH</t>
    </r>
    <r>
      <rPr>
        <b/>
        <sz val="12"/>
        <color theme="1"/>
        <rFont val="Calibri"/>
        <family val="2"/>
        <scheme val="minor"/>
      </rPr>
      <t xml:space="preserve"> </t>
    </r>
    <r>
      <rPr>
        <sz val="12"/>
        <color theme="1"/>
        <rFont val="Calibri"/>
        <family val="2"/>
        <scheme val="minor"/>
      </rPr>
      <t>programs</t>
    </r>
  </si>
  <si>
    <r>
      <rPr>
        <b/>
        <sz val="12"/>
        <color rgb="FF000000"/>
        <rFont val="Calibri"/>
        <family val="2"/>
        <scheme val="minor"/>
      </rPr>
      <t xml:space="preserve">Version number: </t>
    </r>
    <r>
      <rPr>
        <sz val="12"/>
        <color rgb="FF000000"/>
        <rFont val="Calibri"/>
        <family val="2"/>
        <scheme val="minor"/>
      </rPr>
      <t>2.4</t>
    </r>
  </si>
  <si>
    <r>
      <rPr>
        <b/>
        <sz val="12"/>
        <color rgb="FF000000"/>
        <rFont val="Calibri"/>
        <family val="2"/>
        <scheme val="minor"/>
      </rPr>
      <t xml:space="preserve">Version date: </t>
    </r>
    <r>
      <rPr>
        <sz val="12"/>
        <color rgb="FF000000"/>
        <rFont val="Calibri"/>
        <family val="2"/>
        <scheme val="minor"/>
      </rPr>
      <t>Sept. 11, 2023</t>
    </r>
  </si>
  <si>
    <r>
      <rPr>
        <b/>
        <sz val="12"/>
        <color rgb="FF000000"/>
        <rFont val="Calibri"/>
        <family val="2"/>
        <scheme val="minor"/>
      </rPr>
      <t>Notes:</t>
    </r>
    <r>
      <rPr>
        <sz val="12"/>
        <color rgb="FF000000"/>
        <rFont val="Calibri"/>
        <family val="2"/>
        <scheme val="minor"/>
      </rPr>
      <t xml:space="preserve"> The lower level objectives should cause the higher level objectives.</t>
    </r>
  </si>
  <si>
    <t>Objectives</t>
  </si>
  <si>
    <t>Train HANWASH Ambassadors &amp; Coordinators and their committees throughout the Caribbean.​</t>
  </si>
  <si>
    <t>Certify the sustained usage of sanitation services.</t>
  </si>
  <si>
    <r>
      <rPr>
        <b/>
        <sz val="12"/>
        <color rgb="FF000000"/>
        <rFont val="Calibri"/>
        <family val="2"/>
        <scheme val="minor"/>
      </rPr>
      <t xml:space="preserve">Version number: </t>
    </r>
    <r>
      <rPr>
        <sz val="12"/>
        <color rgb="FF000000"/>
        <rFont val="Calibri"/>
        <family val="2"/>
        <scheme val="minor"/>
      </rPr>
      <t>2.41</t>
    </r>
  </si>
  <si>
    <r>
      <rPr>
        <b/>
        <sz val="12"/>
        <color rgb="FF000000"/>
        <rFont val="Calibri"/>
        <family val="2"/>
        <scheme val="minor"/>
      </rPr>
      <t>Version date: March</t>
    </r>
    <r>
      <rPr>
        <sz val="12"/>
        <color rgb="FF000000"/>
        <rFont val="Calibri"/>
        <family val="2"/>
        <scheme val="minor"/>
      </rPr>
      <t xml:space="preserve"> 21, 2024</t>
    </r>
  </si>
  <si>
    <t>Kept in revised version</t>
  </si>
  <si>
    <t>Replaced in revised version</t>
  </si>
  <si>
    <t>Removed in revised version</t>
  </si>
  <si>
    <t>Reporting system</t>
  </si>
  <si>
    <t>Reporting system validation</t>
  </si>
  <si>
    <t>Validator</t>
  </si>
  <si>
    <t>% of commune WASH events with Rotarian participation</t>
  </si>
  <si>
    <t>Percentage of commune-level WASH events that have active Rotarian participation, measured as a proportion of total reported events.</t>
  </si>
  <si>
    <t>% of total commune levelWASH events reported</t>
  </si>
  <si>
    <t>Rotary ambassadors</t>
  </si>
  <si>
    <t>After every implementation event</t>
  </si>
  <si>
    <t>HANWASH M&amp;E officer</t>
  </si>
  <si>
    <t>% of commune WASH events led by trained HANWASH Ambassadors and Coordinators to communicate WASH messages and advocate for HANWASH goal</t>
  </si>
  <si>
    <t>Percentage of commune-level WASH events led by trained HANWASH Ambassadors and Coordinators to communicate WASH messages and advocate for HANWASH mission and goal, measured as a proportion of total reported WASH events.
"…led by Rotarians…" means the WASH events whose initiative have been taken by Rotarians.</t>
  </si>
  <si>
    <t>% of commune level WASH events reported</t>
  </si>
  <si>
    <t># of volunteer hours per month spent by Rotarians in WASH events</t>
  </si>
  <si>
    <t>Total number of hours contributed by Rotarians each month through volunteer activities related to water, sanitation, and hygiene (WASH) events for the HANWASH initiative.
WASH event can be defined as:
"A structured activity organized or supported by HANWASH or its partners that directly contributes to improving water, sanitation, or hygiene outcomes in Haiti. This includes project design and implementation, community mobilization, hygiene promotion, technical assessments, training sessions, or advocacy efforts involving Rotarian volunteers."
Notes:
*"Structured activity" implies a planned and time-bound engagement.
*The activity should be directly relevant to WASH outcomes.
*On-site and remote support is included (e.g., virtual trainings, planning sessions, etc.).</t>
  </si>
  <si>
    <t>volunteer hours / month</t>
  </si>
  <si>
    <t>1110b</t>
  </si>
  <si>
    <t>Number of people reached by the HANWASH Ambassadors, Coordinators  and Rotarians in general in the Commune WASH events  and advocacy efforts led by them</t>
  </si>
  <si>
    <t>Total number of individuals reached through WASH events and advocacy efforts led by HANWASH Ambassadors, Coordinators, and other Rotarians from and outside of Haiti.</t>
  </si>
  <si>
    <t>1120a</t>
  </si>
  <si>
    <t># of ambassadors who have completed training</t>
  </si>
  <si>
    <t>Total number of HANWASH Ambassadors who have successfully completed the required training program.</t>
  </si>
  <si>
    <t>Training type, date, commune</t>
  </si>
  <si>
    <t>PMO</t>
  </si>
  <si>
    <t>After every training event</t>
  </si>
  <si>
    <t>1120b</t>
  </si>
  <si>
    <t># of coordinators who have completed training</t>
  </si>
  <si>
    <t>Total number of HANWASH Coordinators who have successfully completed the required training program.</t>
  </si>
  <si>
    <t>1120c</t>
  </si>
  <si>
    <t># of training materials created in alignment with HANWASH three pillars and core values</t>
  </si>
  <si>
    <t>Total number of training materials developed that align with HANWASH's three pillars and core values.</t>
  </si>
  <si>
    <t>Training materials</t>
  </si>
  <si>
    <t>Training type</t>
  </si>
  <si>
    <t>1120d</t>
  </si>
  <si>
    <t>#  of hours of training received by the HANWASH Ambassadors &amp; Coordinators and their committees throughout the Caribbean</t>
  </si>
  <si>
    <t>Cumulative number of training hours received by HANWASH Ambassadors, Coordinators, and their committees throughout the Caribbean region.</t>
  </si>
  <si>
    <t>Hours of training</t>
  </si>
  <si>
    <t>HANWASH project monitoring</t>
  </si>
  <si>
    <t>After every joint event</t>
  </si>
  <si>
    <t>% of service providers under HANWASH initiative monitored according to national guidelines</t>
  </si>
  <si>
    <r>
      <rPr>
        <b/>
        <sz val="12"/>
        <color rgb="FF000000"/>
        <rFont val="Calibri"/>
        <family val="2"/>
        <scheme val="minor"/>
      </rPr>
      <t xml:space="preserve">Water point: </t>
    </r>
    <r>
      <rPr>
        <sz val="12"/>
        <color rgb="FF000000"/>
        <rFont val="Calibri"/>
        <family val="2"/>
        <scheme val="minor"/>
      </rPr>
      <t xml:space="preserve">Annually
</t>
    </r>
    <r>
      <rPr>
        <b/>
        <sz val="12"/>
        <color rgb="FF000000"/>
        <rFont val="Calibri"/>
        <family val="2"/>
        <scheme val="minor"/>
      </rPr>
      <t xml:space="preserve">Water system: </t>
    </r>
    <r>
      <rPr>
        <sz val="12"/>
        <color rgb="FF000000"/>
        <rFont val="Calibri"/>
        <family val="2"/>
        <scheme val="minor"/>
      </rPr>
      <t>Monthly"</t>
    </r>
  </si>
  <si>
    <t>Every two years</t>
  </si>
  <si>
    <t>% of intervention service providers with accountability structures in place</t>
  </si>
  <si>
    <t>Percentage of intervention service providers that have established accountability structures, promoting transparency and community engagement.
"Accountability structures in place", means:
1) CPE or Operator meets regularly
2) CPE or Operator meets with community regularly
3) CPE or Operator  signed bylaws with OREPA and apply them
4) Water usage fees are collected on a monthly basis from the subscribers
5) Records are available; 
6) Reports are submitted to OREPA and the local authorities on a monthly basis
7) Water treatment is done regularly, in alignment with OREPA's requirements
8) Water potability test is done at the water points or the water system regularly, in alignment with OREPA's requirements (at least once every quarter for the community water points)
9) A mechanism is in place to collect and resolve customers complaints</t>
  </si>
  <si>
    <t>On completion + annually</t>
  </si>
  <si>
    <t>Household survey</t>
  </si>
  <si>
    <t>HANWASH M&amp;E Officer</t>
  </si>
  <si>
    <t># of intervention water systems regularly reporting data</t>
  </si>
  <si>
    <t>Number of intervention water systems that consistently report data on a regular basis, in alignment with OREPA's requirements, demonstrating operational transparency.
"Regularly reporting data":
1) Submitted their monthly report</t>
  </si>
  <si>
    <t>water systems</t>
  </si>
  <si>
    <t>% of customer complaints resolved during the month</t>
  </si>
  <si>
    <t>Percentage of customer complaints resolved during the month, calculated as (number of resolved complaints during the month/ total number of complaints received during the month) * 100.</t>
  </si>
  <si>
    <t>% of total number of complaints received during the month</t>
  </si>
  <si>
    <t>Average response time to resolve customer complaints</t>
  </si>
  <si>
    <t>This indicator measures how long it takes on average for the service providers to resolve customer complaints. 
This is the Average number of days taken to resolve customer complaints, indicating responsiveness and service quality.</t>
  </si>
  <si>
    <t>SAEP monthly report, Implementation Event tracking, Service Provider Monitoring form</t>
  </si>
  <si>
    <t>This indicator measures the number of communes within the program area that have conducted at least one formal, documented annual review meeting in the past 12 months to assess the performance of water and sanitation service providers. The review must involve key stakeholders, including the Commune Committee (CASEC/ASEC or local authorities), users (e.g., representatives of community water users), service providers (e.g., water system operators), and implementing partners (e.g., NGOs, donors, or government agencies involved in WASH service delivery).
Key Criteria for Counting a Commune as Having Met the Indicator:
1) A service provider performance review meeting was held within the last 12 months.
2) The meeting was convened or co-organized by the commune authority or another recognized coordinating body.
3) Representatives from all four stakeholder groups (Commune Committee, users, service providers, implementing partners) were invited and at least three attended.
4) The meeting included a structured agenda covering topics such as service quality, financial performance, user satisfaction, and challenges.
5) Meeting minutes or a summary report was produced and made available to participants.</t>
  </si>
  <si>
    <t>2100a</t>
  </si>
  <si>
    <t>% of intervention water points which are functioning and potable</t>
  </si>
  <si>
    <r>
      <t>Percentage of intervention water points that are both functioning and providing potable water, ensuring access to safe drinking water.</t>
    </r>
    <r>
      <rPr>
        <b/>
        <sz val="12"/>
        <color rgb="FF000000"/>
        <rFont val="Calibri"/>
        <family val="2"/>
        <scheme val="minor"/>
      </rPr>
      <t xml:space="preserve">
"Functioning":
1a) Functional: </t>
    </r>
    <r>
      <rPr>
        <sz val="12"/>
        <color rgb="FF000000"/>
        <rFont val="Calibri"/>
        <family val="2"/>
        <scheme val="minor"/>
      </rPr>
      <t xml:space="preserve">Water point is in good working condition and regularly provides water according the specifications in the original design.
OR
</t>
    </r>
    <r>
      <rPr>
        <b/>
        <sz val="12"/>
        <color rgb="FF000000"/>
        <rFont val="Calibri"/>
        <family val="2"/>
        <scheme val="minor"/>
      </rPr>
      <t xml:space="preserve">1b) Partially functional but in need of repair: </t>
    </r>
    <r>
      <rPr>
        <sz val="12"/>
        <color rgb="FF000000"/>
        <rFont val="Calibri"/>
        <family val="2"/>
        <scheme val="minor"/>
      </rPr>
      <t xml:space="preserve">Water point provides water on a regular basis (possibly in a reduced capacity) but repairs are needed due to some maintenance issue or change in conditions at the site.
</t>
    </r>
    <r>
      <rPr>
        <b/>
        <sz val="12"/>
        <color rgb="FF000000"/>
        <rFont val="Calibri"/>
        <family val="2"/>
        <scheme val="minor"/>
      </rPr>
      <t xml:space="preserve">Potable: 
</t>
    </r>
    <r>
      <rPr>
        <sz val="12"/>
        <color rgb="FF000000"/>
        <rFont val="Calibri"/>
        <family val="2"/>
        <scheme val="minor"/>
      </rPr>
      <t>2) Free from E. Coli and priority contaminants</t>
    </r>
  </si>
  <si>
    <t># of people in intervention communes with access to basic drinking water service through community managed water points</t>
  </si>
  <si>
    <t>On completion</t>
  </si>
  <si>
    <t>2110b</t>
  </si>
  <si>
    <t># of community managed water points created</t>
  </si>
  <si>
    <r>
      <t>Number of new community-managed water points created by HANWASH and its partners, with signed CPE bylaws with OREPA/DINEPA.</t>
    </r>
    <r>
      <rPr>
        <b/>
        <sz val="12"/>
        <color rgb="FF000000"/>
        <rFont val="Calibri"/>
        <family val="2"/>
        <scheme val="minor"/>
      </rPr>
      <t xml:space="preserve">
"Community managed water points":
</t>
    </r>
    <r>
      <rPr>
        <sz val="12"/>
        <color rgb="FF000000"/>
        <rFont val="Calibri"/>
        <family val="2"/>
        <scheme val="minor"/>
      </rPr>
      <t>1) Signed CPE bylaws with OREPA/DINEPA</t>
    </r>
  </si>
  <si>
    <t>water points</t>
  </si>
  <si>
    <t>2110c</t>
  </si>
  <si>
    <t>% of the community managed water points created which submit report to local authorities and OREPA on a monthly basis</t>
  </si>
  <si>
    <t>Percentage of newly created/rehabilitated community-managed water points that submit monthly reports to local authorities and OREPA, promoting accountability.</t>
  </si>
  <si>
    <t># of people added to safely managed drinking water service</t>
  </si>
  <si>
    <t>Water point, gender, age category, improved water source, available on premises, available when needed, free from E. Coli and priority contaminants</t>
  </si>
  <si>
    <t>2120c</t>
  </si>
  <si>
    <t># of professionally managed piped water systems rehabilitated in the intervention communes</t>
  </si>
  <si>
    <r>
      <t>Number of professionally managed piped water systems rehabilitated in the intervention communes, improving existing infrastructure.</t>
    </r>
    <r>
      <rPr>
        <b/>
        <sz val="12"/>
        <color rgb="FF000000"/>
        <rFont val="Calibri"/>
        <family val="2"/>
        <scheme val="minor"/>
      </rPr>
      <t xml:space="preserve">
1) "Professionally managed water systems":</t>
    </r>
    <r>
      <rPr>
        <sz val="12"/>
        <color rgb="FF000000"/>
        <rFont val="Calibri"/>
        <family val="2"/>
        <scheme val="minor"/>
      </rPr>
      <t xml:space="preserve"> Signed OP bylaws with OREPA/DINEPA; 
</t>
    </r>
    <r>
      <rPr>
        <b/>
        <sz val="12"/>
        <color rgb="FF000000"/>
        <rFont val="Calibri"/>
        <family val="2"/>
        <scheme val="minor"/>
      </rPr>
      <t>2)Rehabilitated:</t>
    </r>
    <r>
      <rPr>
        <sz val="12"/>
        <color rgb="FF000000"/>
        <rFont val="Calibri"/>
        <family val="2"/>
        <scheme val="minor"/>
      </rPr>
      <t xml:space="preserve"> "The term "rehabilitated" implies that there was a pre-existing water supply system that may have been damaged, degraded, or in need of upgrades, and efforts were made to restore or enhance its functionality."</t>
    </r>
  </si>
  <si>
    <t>Water system, Date, commune</t>
  </si>
  <si>
    <t>2120b</t>
  </si>
  <si>
    <t># of professionally managed piped water systems created in the intervention communes</t>
  </si>
  <si>
    <r>
      <t>Number of new professionally managed piped water systems created in the intervention communes, expanding access to safely managed drinking water service.</t>
    </r>
    <r>
      <rPr>
        <b/>
        <sz val="12"/>
        <color rgb="FF000000"/>
        <rFont val="Calibri"/>
        <family val="2"/>
        <scheme val="minor"/>
      </rPr>
      <t xml:space="preserve">
"Professionally managed water systems":
</t>
    </r>
    <r>
      <rPr>
        <sz val="12"/>
        <color rgb="FF000000"/>
        <rFont val="Calibri"/>
        <family val="2"/>
        <scheme val="minor"/>
      </rPr>
      <t>1) Signed OP bylaws with OREPA/DINEPA</t>
    </r>
  </si>
  <si>
    <t>% of intervention communities which are verified ODF</t>
  </si>
  <si>
    <t>% of intervention communities</t>
  </si>
  <si>
    <t>ODF verification and certification</t>
  </si>
  <si>
    <t>% of population in intervention communes with safely managed sanitation service</t>
  </si>
  <si>
    <r>
      <t>Percentage of population in intervention communes with access to safely managed sanitation service, meeting WHO/UNICEF JMP criteria.</t>
    </r>
    <r>
      <rPr>
        <b/>
        <sz val="12"/>
        <color rgb="FF000000"/>
        <rFont val="Calibri"/>
        <family val="2"/>
        <scheme val="minor"/>
      </rPr>
      <t xml:space="preserve">
"Safely managed sanitation service":
</t>
    </r>
    <r>
      <rPr>
        <sz val="12"/>
        <color rgb="FF000000"/>
        <rFont val="Calibri"/>
        <family val="2"/>
        <scheme val="minor"/>
      </rPr>
      <t>1) Improved (according to the JMP classification)
2) Unshared
AND
3a) Excreta treated in situ 
OR
3b) Excreta emptied, transported, and treated</t>
    </r>
  </si>
  <si>
    <t>2210b</t>
  </si>
  <si>
    <t># of "intervention" communities verified ODF</t>
  </si>
  <si>
    <r>
      <t>Number of intervention communities verified as Open Defecation Free (ODF), by the commune WASH committee.</t>
    </r>
    <r>
      <rPr>
        <b/>
        <sz val="12"/>
        <color rgb="FF000000"/>
        <rFont val="Calibri"/>
        <family val="2"/>
        <scheme val="minor"/>
      </rPr>
      <t xml:space="preserve">
"Verified ODF":
</t>
    </r>
    <r>
      <rPr>
        <sz val="12"/>
        <color rgb="FF000000"/>
        <rFont val="Calibri"/>
        <family val="2"/>
        <scheme val="minor"/>
      </rPr>
      <t>0) [Verification conducted by commune WASH committee]
1) 100% of households have a toilet that has been used at least once
2) Toilets meet the minimum standards of hygiene, privacy, and security and are in alignment with DINEPA's minimum standards
3) Areas of defecation identified during contact visits, reported no evidence of fecal matter
4) Schools attended by 80% of children comply with hygiene standards
5) Main market frequented by the population has a usable sanitary block or a formal step has been undertaken for this purpose
6) There is a willingness of the community to maintain a state of ODF</t>
    </r>
  </si>
  <si>
    <t>communities</t>
  </si>
  <si>
    <t>2220a</t>
  </si>
  <si>
    <t># of "intervention" communities certified ODF</t>
  </si>
  <si>
    <t>Number of intervention communities that have been certified as Open Defecation Free (ODF) by the Communal Committee and OREPA, maintaining verified ODF status for at least one year.</t>
  </si>
  <si>
    <t>2300b</t>
  </si>
  <si>
    <t>% of population in intervention communes with basic hygiene service</t>
  </si>
  <si>
    <r>
      <rPr>
        <sz val="12"/>
        <color rgb="FF000000"/>
        <rFont val="Calibri"/>
        <family val="2"/>
        <scheme val="minor"/>
      </rPr>
      <t>Percentage of population in intervention communes with access to basic hygiene service, as defined by WHO/UNICEF JMP criteria.</t>
    </r>
    <r>
      <rPr>
        <b/>
        <sz val="12"/>
        <color rgb="FF000000"/>
        <rFont val="Calibri"/>
        <family val="2"/>
        <scheme val="minor"/>
      </rPr>
      <t xml:space="preserve">
"Basic hygiene service":
</t>
    </r>
    <r>
      <rPr>
        <sz val="12"/>
        <color rgb="FF000000"/>
        <rFont val="Calibri"/>
        <family val="2"/>
        <scheme val="minor"/>
      </rPr>
      <t>1) Presence of a Hanwashing facility on premises
2) Presence of soap and water</t>
    </r>
  </si>
  <si>
    <t>% of schools with basic drinking water, sanitation, and hygiene services</t>
  </si>
  <si>
    <t>% of healthcare facilities with basic drinking water, sanitation, and hygiene services</t>
  </si>
  <si>
    <t>Cumulative amount of money committed in alignment with HANWASH Core Values</t>
  </si>
  <si>
    <t>HANWASH M&amp;E Officer &amp; DINEPA</t>
  </si>
  <si>
    <t>Since this indicator is completed by the HANWASH M&amp;E officer, HANWASH should review the results with DINEPA as a check on the reporting system</t>
  </si>
  <si>
    <t>% of committed money which has been spent (cumulative)</t>
  </si>
  <si>
    <t>Amount of money spent by external actors within HANWASH project areas</t>
  </si>
  <si>
    <t>Amount of money spent by external actors beyond project areas in alignment with HANWASH Core Values</t>
  </si>
  <si>
    <t>Since this information is contained in SIEPA, the HANWASH M&amp;E Officer should work with ONEPA to aquire the data. Validation</t>
  </si>
  <si>
    <t>3210a</t>
  </si>
  <si>
    <t># of DINEPA personnel trained as leaders</t>
  </si>
  <si>
    <t>Number of DINEPA personnel who have completed leadership training, building capacity within the national water authority.</t>
  </si>
  <si>
    <t>Gender, date, commune</t>
  </si>
  <si>
    <t>After every assistance or training event</t>
  </si>
  <si>
    <t>Source_link</t>
  </si>
  <si>
    <t>Frequency_time</t>
  </si>
  <si>
    <t>Visualization_link</t>
  </si>
  <si>
    <t>% of commune level events reported</t>
  </si>
  <si>
    <t xml:space="preserve">"…led by Rotarians…" means the WASH activities whose initiative have been taken by Rotarians. </t>
  </si>
  <si>
    <t>volunteer hours / club / month</t>
  </si>
  <si>
    <t>"Number of people reached…": Number of people participating in the WASH events led by Rotarians.</t>
  </si>
  <si>
    <t>Number of hours and number of people attending</t>
  </si>
  <si>
    <t xml:space="preserve">"...in alignment with Commune Action Plans":
-The activity was originally a part of a commune action plan, then implemented as part of a HANWASH project.
</t>
  </si>
  <si>
    <t>"National guidelines:"
-Water points: 1 x water survey per year
-Piped water systems: 1 x Monthly Report per month</t>
  </si>
  <si>
    <t>% of service providers in intervention communes</t>
  </si>
  <si>
    <t>Water point: Annually
Water system: Monthly"</t>
  </si>
  <si>
    <t>"Accountability structures in place":
1) Committee meets regularly
2) Committee meets with community regularly
3) Committee bylaws in place
4) Fees are collected
5) Records are available; 6) Reports are submitted to OREPA and the local authorities on a monthly basis</t>
  </si>
  <si>
    <t>This indicator measures the proportion of the households connected to the water system which are satisfied with the quality, affordability and reliability of the WASH services provided</t>
  </si>
  <si>
    <t>"Regularly reporting data":
1) Submitted their monthly report</t>
  </si>
  <si>
    <t>"Percent of complaints": 100 x # of complaints resolved during the month / # of complaints identified during the month</t>
  </si>
  <si>
    <t>% of complaints</t>
  </si>
  <si>
    <t xml:space="preserve">This indicator measures how long it takes on average for the service providers to resolve customer complaints. </t>
  </si>
  <si>
    <t>"Functioning":
1a) Functional: Water point is in good working condition and regularly provides water according the specifications in the original design.
OR
1b) Partially functional but in need of repair: Water point provides water on a regular basis (possibly in a reduced capacity) but repairs are needed due to some maintenance issue or change in conditions at the site.
Potable: 
2) Free from E. Coli and priority contaminants</t>
  </si>
  <si>
    <t>"...at least basic drinking water service":
1) Improved water source
2) Within 30 min round trip
Note: This also includes basic and safely managed water service.</t>
  </si>
  <si>
    <t>"Safely managed drinking water service":
1) Improved water source
2) Accessible on premises
3) Available when needed
4) Free from E. Coli and priority contaminants</t>
  </si>
  <si>
    <t>% of intervention water points which are functional, potable, and have a balanced budget or a budget with surplus after 2 years</t>
  </si>
  <si>
    <t>1a) Functional: Water point is in good working condition and regularly provides water according the specifications in the original design.
OR
1b) Partially functional but in need of repair: Water point provides water on a regular basis (possibly in a reduced capacity) but repairs are needed due to some maintenance issue or change in conditions at the site.
2) "Potable": Free from E. Coli and priority contaminants.
3) "have a balanced budget":
Monthly revenue excceeds expenses.
4) "after 2 years": Two years from the inauguration date.</t>
  </si>
  <si>
    <t>"Basic drinking water service":
1) Improved water source
2) Within 30 min round trip
3) [Household level]</t>
  </si>
  <si>
    <t>"Community managed water points":
1) Signed CPE statutes with DINEPA</t>
  </si>
  <si>
    <t>% of the community managed water points created which submit report to local authorities on a monthly basis</t>
  </si>
  <si>
    <t>"Safely managed drinking water service":
1) Improved water source
2) Available on premises
3) Available when needed
4) Free from E. Coli and priority contaminants</t>
  </si>
  <si>
    <t>"Professionally managed water systems":
1) Signed OP statutes with DINEPA; Rehabilitated means: "The term "rehabilitated" implies that there was a pre-existing water supply system that may have been damaged, degraded, or in need of upgrades, and efforts were made to restore or enhance its functionality."</t>
  </si>
  <si>
    <t>"Professionally managed water systems":
1) Signed OP statutes with DINEPA</t>
  </si>
  <si>
    <t>"Verified ODF":
0) [Verification conducted by commune WASH committee]
1) 100% of households have a toilet that has been used at least once
2) Toilets meet the minimum standards of hygiene, privacy, and security
3) Areas of defecation identified during contact visits, reported no evidence of fecal matter
4) Schools attended by 80% of children comply with health standards
5) Main market frequented by the population has a usable sanitary block or a formal step has been undertaken for this purpose
6) There is a willingness of the locality to maintain a state of ODF</t>
  </si>
  <si>
    <t>"...at least basic sanitation service": 
Basic
1) Improved
2) Unshared
3) [Household level]
Note: Includes basic and safely managed sanitation service.</t>
  </si>
  <si>
    <t>"Safely managed sanitation service":
1) Improved
2) Unshared
AND
3a) Excretia treated in situ 
OR
3b) Excretia emptied, transported, and treated</t>
  </si>
  <si>
    <t>"Basic sanitation service":
1) Improved
2) Unshared
3) [Household level]</t>
  </si>
  <si>
    <t>"Certified ODF":
0) [Certification conducted by commune WASH committee]
1) Maintained "Verified ODF" criteria (see below) for at least 1 year.
"Verified ODF":
0) [Verification conducted by commune WASH committee]
1) 100% of households have a toilet that has been used at least once
2) Toilets meet the minimum standards of hygiene, privacy, and security
3) Areas of defecation identified during contact visits, reported no evidence of fecal matter
4) Schools attended by 80% of children comply with health standards
5) Main market frequented by the population has a usable sanitary block or a formal step has been undertaken for this purpose
6) There is a willingness of the locality to maintain a state of ODF</t>
  </si>
  <si>
    <t>toilet blocks</t>
  </si>
  <si>
    <t>"...at least basic hygiene service":
1) Presence of a Hanwashing facility on premises
2) Presence of soap and water</t>
  </si>
  <si>
    <t>"Basic hygiene service":
1) Presence of a Hanwashing facility on premises
2) Presence of soap and water</t>
  </si>
  <si>
    <t>animators</t>
  </si>
  <si>
    <t>This indicator measures the intensity of the hygiene trainings and community mobilization  delivered by the community animators. It is the sum of hours the community animator spends providing hygiene trainings.</t>
  </si>
  <si>
    <t>Hours</t>
  </si>
  <si>
    <t>"Basic hygiene service":
1) Presence of a facility
2) Presence of soap and water
3) [Household level]</t>
  </si>
  <si>
    <t>"Basic drinking water service":
1) Improved
2) Currently available
"Basic sanitation service":
1) Improved
2) Usable
3) Single sex toilets available
"Basic hygiene service":
1) Presence of handwashing facilities
2) Presence of soap and water</t>
  </si>
  <si>
    <t>% of intervention schools</t>
  </si>
  <si>
    <t>"Basic drinking water service":
1) Improved
2) On premises
3) Currently available
"Basic sanitation service":
1) Improved
2) Usable
3) Dedicated for staff
4) Sex-separated with menstrual hygiene facilities
5) Accessible for users with limited mobility
"Basic hygiene service":
...At points of care
1) Facilities present
2) Soap and water or alcohol based hand rub present
...At toilets
1) Within 5 m of toilets
2) Facilities present
3) Soap and water present</t>
  </si>
  <si>
    <t>"Basic drinking water service":
1) Improved
2) Currently available</t>
  </si>
  <si>
    <t>"Basic drinking water service":
1) Improved
2) On premises
3) Currently available</t>
  </si>
  <si>
    <t>"Basic sanitation service":
1) Improved
2) Usable
3) Single sex toilets available</t>
  </si>
  <si>
    <t>"Basic sanitation services":
1) Improved
2) Usable
3) Dedicated for staff
4) Sex-separated with menstrual hygiene facilities
5) Accessible for users with limited mobility</t>
  </si>
  <si>
    <t>"Basic hygiene":
1) Presence of handwashing facilities
2) Presence of soap and water</t>
  </si>
  <si>
    <t>"Basic hygiene":
...At points of care
1) Facilities present
2) Soap and water or alcohol based hand rub present
...At toilets
1) Within 5 m of toilets
2) Facilities present
3) Soap and water present</t>
  </si>
  <si>
    <t>Aligned with HANWASH Core Values:
-### **LOCALLY LED**
**We strengthen community participation in governance of WASH infrastructure and services.**
### **COLLABORATIVE**
**Volunteers, government authorities, and partners are meaningfully engaged.**
### ****
### **SYSTEMATIC**
**We will be thoughtful and consistent in planning, doing, and improving our work.**
### **IMPACTFUL**
**Sustainability is a key metric of our success.**
****
### **COMMITTED**
**We will not stop until the job is done.**</t>
  </si>
  <si>
    <t>% spent (cumulative): (Cumulative_amount_spent / Cumulative_amount_committed) x 100</t>
  </si>
  <si>
    <t>Number of IPs who have signed / Total number of IPs in HANWASH program areas x 100</t>
  </si>
  <si>
    <t>Priorities areas for 2023-24: Unified national tariff methodology &amp; ODF certification.</t>
  </si>
  <si>
    <r>
      <rPr>
        <b/>
        <sz val="12"/>
        <color rgb="FF000000"/>
        <rFont val="Calibri"/>
        <family val="2"/>
        <scheme val="minor"/>
      </rPr>
      <t>Document:</t>
    </r>
    <r>
      <rPr>
        <sz val="12"/>
        <color rgb="FF000000"/>
        <rFont val="Calibri"/>
        <family val="2"/>
        <scheme val="minor"/>
      </rPr>
      <t xml:space="preserve"> Performance objectives framework</t>
    </r>
  </si>
  <si>
    <r>
      <rPr>
        <b/>
        <sz val="12"/>
        <color rgb="FF000000"/>
        <rFont val="Calibri"/>
        <family val="2"/>
        <scheme val="minor"/>
      </rPr>
      <t xml:space="preserve">Objective: </t>
    </r>
    <r>
      <rPr>
        <sz val="12"/>
        <color rgb="FF000000"/>
        <rFont val="Calibri"/>
        <family val="2"/>
        <scheme val="minor"/>
      </rPr>
      <t>Establish a structure for reporting key milestones to high-level stakeholders</t>
    </r>
  </si>
  <si>
    <r>
      <rPr>
        <b/>
        <sz val="12"/>
        <color rgb="FF000000"/>
        <rFont val="Calibri"/>
        <family val="2"/>
        <scheme val="minor"/>
      </rPr>
      <t>Reference link:</t>
    </r>
    <r>
      <rPr>
        <sz val="12"/>
        <color rgb="FF000000"/>
        <rFont val="Calibri"/>
        <family val="2"/>
        <scheme val="minor"/>
      </rPr>
      <t xml:space="preserve"> TBD</t>
    </r>
  </si>
  <si>
    <r>
      <rPr>
        <b/>
        <sz val="12"/>
        <color rgb="FF000000"/>
        <rFont val="Calibri"/>
        <family val="2"/>
        <scheme val="minor"/>
      </rPr>
      <t>Version date: March 21</t>
    </r>
    <r>
      <rPr>
        <sz val="12"/>
        <color rgb="FF000000"/>
        <rFont val="Calibri"/>
        <family val="2"/>
        <scheme val="minor"/>
      </rPr>
      <t>, 2024</t>
    </r>
  </si>
  <si>
    <t>Performance Objectives Framework</t>
  </si>
  <si>
    <t>Indicative Targets (subject to change as we collect baseline data)</t>
  </si>
  <si>
    <t>#</t>
  </si>
  <si>
    <t>Name</t>
  </si>
  <si>
    <t>Year 1</t>
  </si>
  <si>
    <t>Year 2</t>
  </si>
  <si>
    <t>Year 3</t>
  </si>
  <si>
    <t>Year 4</t>
  </si>
  <si>
    <t>Year 5</t>
  </si>
  <si>
    <t>Commune Action Plans are finalized as necessary</t>
  </si>
  <si>
    <t>90% of the Approved interventions</t>
  </si>
  <si>
    <t xml:space="preserve">"Approved interventions" means the specific interventions from the Commune Action Plans which are assigned to HANWASH by the Mayor's Offices. </t>
  </si>
  <si>
    <t>mWater platform fully operational</t>
  </si>
  <si>
    <t>100% of service providers</t>
  </si>
  <si>
    <t>2100b
2200b
2300b</t>
  </si>
  <si>
    <t>Baseline study carried out and documented</t>
  </si>
  <si>
    <t>2 pct* points</t>
  </si>
  <si>
    <t>5 pct points</t>
  </si>
  <si>
    <t>10 pct points</t>
  </si>
  <si>
    <t>$1 million in additional funds committed toward Mattson program</t>
  </si>
  <si>
    <t>$2.5 million</t>
  </si>
  <si>
    <t>$4.5 million</t>
  </si>
  <si>
    <t>$7 million</t>
  </si>
  <si>
    <t>$7.2 million in additional funds committed</t>
  </si>
  <si>
    <t>Notes:</t>
  </si>
  <si>
    <t>HANWASH is intended to be learning constantly from its work and iterating imporvements to its model. This will influence the way in which this framework is organized, objectives are established, and targets are set.</t>
  </si>
  <si>
    <t xml:space="preserve">*Percentage point increase over baseline value. </t>
  </si>
  <si>
    <t>Progress toward Year 5 indicator targets are shown as cumulative totals (e.g. 20% of approved interventions implemented in Year 3 includes the 10% implemented in Year 2).</t>
  </si>
  <si>
    <r>
      <t>"</t>
    </r>
    <r>
      <rPr>
        <b/>
        <sz val="12"/>
        <color theme="1"/>
        <rFont val="Calibri"/>
        <family val="2"/>
        <scheme val="minor"/>
      </rPr>
      <t>Approved interventions</t>
    </r>
    <r>
      <rPr>
        <sz val="12"/>
        <color theme="1"/>
        <rFont val="Calibri"/>
        <family val="2"/>
        <scheme val="minor"/>
      </rPr>
      <t xml:space="preserve">" means the specific interventions from the Commune Action Plans which are assigned to HANWASH by the Mayor's Offices through a demand letter . </t>
    </r>
  </si>
  <si>
    <t>Percentage of implemented interventions that align with approved Commune Action Plans, indicating adherence to local priorities and needs.</t>
  </si>
  <si>
    <t>Percentage of the interventions that have received formal approval from the Mayors offices through a demand letter or other written documents which have been implemented or are in-process by HANWASH or its partners. The approved interventions are subsets of the commune action plans which are assigned to HANWASH or its partners by the Mayor's Offices.</t>
  </si>
  <si>
    <r>
      <t xml:space="preserve">Document: </t>
    </r>
    <r>
      <rPr>
        <sz val="12"/>
        <color theme="1"/>
        <rFont val="Calibri"/>
        <family val="2"/>
        <scheme val="minor"/>
      </rPr>
      <t>Monitoring framework</t>
    </r>
  </si>
  <si>
    <r>
      <rPr>
        <b/>
        <sz val="12"/>
        <color rgb="FF000000"/>
        <rFont val="Calibri"/>
        <family val="2"/>
        <scheme val="minor"/>
      </rPr>
      <t xml:space="preserve">Objective: </t>
    </r>
    <r>
      <rPr>
        <sz val="12"/>
        <color rgb="FF000000"/>
        <rFont val="Calibri"/>
        <family val="2"/>
        <scheme val="minor"/>
      </rPr>
      <t>Track program indicators over time.</t>
    </r>
  </si>
  <si>
    <r>
      <rPr>
        <b/>
        <sz val="12"/>
        <color rgb="FF000000"/>
        <rFont val="Calibri"/>
        <family val="2"/>
        <scheme val="minor"/>
      </rPr>
      <t>Version date: Oct 03</t>
    </r>
    <r>
      <rPr>
        <sz val="12"/>
        <color rgb="FF000000"/>
        <rFont val="Calibri"/>
        <family val="2"/>
        <scheme val="minor"/>
      </rPr>
      <t>, 2023</t>
    </r>
  </si>
  <si>
    <r>
      <rPr>
        <b/>
        <sz val="12"/>
        <color rgb="FF000000"/>
        <rFont val="Calibri"/>
        <family val="2"/>
        <scheme val="minor"/>
      </rPr>
      <t xml:space="preserve">Notes: </t>
    </r>
    <r>
      <rPr>
        <sz val="12"/>
        <color rgb="FF000000"/>
        <rFont val="Calibri"/>
        <family val="2"/>
        <scheme val="minor"/>
      </rPr>
      <t>Please duplicate this sheet for each implementing partner and use formulae to calculate the combined values here.</t>
    </r>
  </si>
  <si>
    <t>Targets</t>
  </si>
  <si>
    <t>End of Project</t>
  </si>
  <si>
    <t>FY 2024</t>
  </si>
  <si>
    <t>FY 2025</t>
  </si>
  <si>
    <t>FY 2026</t>
  </si>
  <si>
    <t>FY 2027</t>
  </si>
  <si>
    <t>FY 2028</t>
  </si>
  <si>
    <t>Target</t>
  </si>
  <si>
    <t>Actual</t>
  </si>
  <si>
    <t>TBD</t>
  </si>
  <si>
    <t xml:space="preserve"> </t>
  </si>
  <si>
    <t>First cohort</t>
  </si>
  <si>
    <r>
      <rPr>
        <b/>
        <sz val="12"/>
        <color rgb="FF000000"/>
        <rFont val="Calibri"/>
        <family val="2"/>
        <scheme val="minor"/>
      </rPr>
      <t>Document:</t>
    </r>
    <r>
      <rPr>
        <sz val="12"/>
        <color rgb="FF000000"/>
        <rFont val="Calibri"/>
        <family val="2"/>
        <scheme val="minor"/>
      </rPr>
      <t xml:space="preserve"> HANWASH Core Values</t>
    </r>
  </si>
  <si>
    <r>
      <rPr>
        <b/>
        <sz val="12"/>
        <color rgb="FF000000"/>
        <rFont val="Calibri"/>
        <family val="2"/>
        <scheme val="minor"/>
      </rPr>
      <t xml:space="preserve">Objective: </t>
    </r>
    <r>
      <rPr>
        <sz val="12"/>
        <color rgb="FF000000"/>
        <rFont val="Calibri"/>
        <family val="2"/>
        <scheme val="minor"/>
      </rPr>
      <t>Define the Core Values which guide HANWASH decision making</t>
    </r>
  </si>
  <si>
    <r>
      <rPr>
        <b/>
        <sz val="12"/>
        <color rgb="FF000000"/>
        <rFont val="Calibri"/>
        <family val="2"/>
        <scheme val="minor"/>
      </rPr>
      <t xml:space="preserve">Scope: </t>
    </r>
    <r>
      <rPr>
        <sz val="12"/>
        <color rgb="FF000000"/>
        <rFont val="Calibri"/>
        <family val="2"/>
        <scheme val="minor"/>
      </rPr>
      <t>HANWASH</t>
    </r>
  </si>
  <si>
    <r>
      <rPr>
        <b/>
        <sz val="12"/>
        <color rgb="FF000000"/>
        <rFont val="Calibri"/>
        <family val="2"/>
        <scheme val="minor"/>
      </rPr>
      <t xml:space="preserve">Version number: </t>
    </r>
    <r>
      <rPr>
        <sz val="12"/>
        <color rgb="FF000000"/>
        <rFont val="Calibri"/>
        <family val="2"/>
        <scheme val="minor"/>
      </rPr>
      <t>1.0</t>
    </r>
  </si>
  <si>
    <r>
      <rPr>
        <b/>
        <sz val="12"/>
        <color rgb="FF000000"/>
        <rFont val="Calibri"/>
        <family val="2"/>
        <scheme val="minor"/>
      </rPr>
      <t xml:space="preserve">Version date: </t>
    </r>
    <r>
      <rPr>
        <sz val="12"/>
        <color rgb="FF000000"/>
        <rFont val="Calibri"/>
        <family val="2"/>
        <scheme val="minor"/>
      </rPr>
      <t>Sept 22, 2023</t>
    </r>
  </si>
  <si>
    <t>HANWASH Core Values</t>
  </si>
  <si>
    <t>Value</t>
  </si>
  <si>
    <t>Factor</t>
  </si>
  <si>
    <t>Locally-led</t>
  </si>
  <si>
    <t>Localization</t>
  </si>
  <si>
    <t>We support community leadesrhip in governance of WASH infrastructure and services.</t>
  </si>
  <si>
    <t>Collaborative</t>
  </si>
  <si>
    <t>Collaboration</t>
  </si>
  <si>
    <t>Volunteers, government authorities, and partners are engaged in a meaningful way.</t>
  </si>
  <si>
    <t>Systematic</t>
  </si>
  <si>
    <t>Systematization</t>
  </si>
  <si>
    <t>We will be thoughtful and consistent in planning, doing, and improving our work.</t>
  </si>
  <si>
    <t>Impactful</t>
  </si>
  <si>
    <t>Impact</t>
  </si>
  <si>
    <t>Sustainability is a key metric of our success.</t>
  </si>
  <si>
    <t>Committed</t>
  </si>
  <si>
    <t>Commitment</t>
  </si>
  <si>
    <t>We will not stop until the job is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</si>
</sst>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5" formatCode="[$-409]d\-mmm\-yy;@"/>
    <numFmt numFmtId="166" formatCode="_(* #,##0.0_);_(* \(#,##0.0\);_(* &quot;-&quot;??_);_(@_)"/>
  </numFmts>
  <fonts count="21">
    <font>
      <sz val="12"/>
      <color theme="1"/>
      <name val="Calibri"/>
      <family val="2"/>
      <scheme val="minor"/>
    </font>
    <font>
      <sz val="11"/>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sz val="12"/>
      <color rgb="FF000000"/>
      <name val="Calibri"/>
      <family val="2"/>
      <scheme val="minor"/>
    </font>
    <font>
      <sz val="12"/>
      <name val="Calibri"/>
      <family val="2"/>
      <scheme val="minor"/>
    </font>
    <font>
      <u/>
      <sz val="12"/>
      <color theme="10"/>
      <name val="Calibri"/>
      <family val="2"/>
      <scheme val="minor"/>
    </font>
    <font>
      <u/>
      <sz val="12"/>
      <color rgb="FF0563C1"/>
      <name val="Calibri"/>
      <family val="2"/>
      <scheme val="minor"/>
    </font>
    <font>
      <b/>
      <u/>
      <sz val="12"/>
      <color rgb="FF0563C1"/>
      <name val="Calibri"/>
      <family val="2"/>
      <scheme val="minor"/>
    </font>
    <font>
      <b/>
      <sz val="12"/>
      <color rgb="FF000000"/>
      <name val="Calibri"/>
      <family val="2"/>
      <scheme val="minor"/>
    </font>
    <font>
      <sz val="12"/>
      <color rgb="FF000000"/>
      <name val="Calibri"/>
      <family val="2"/>
    </font>
    <font>
      <b/>
      <sz val="14"/>
      <color theme="1"/>
      <name val="Calibri"/>
      <family val="2"/>
      <scheme val="minor"/>
    </font>
    <font>
      <i/>
      <sz val="12"/>
      <color rgb="FF000000"/>
      <name val="Calibri"/>
      <family val="2"/>
      <scheme val="minor"/>
    </font>
    <font>
      <u/>
      <sz val="12"/>
      <color theme="4"/>
      <name val="Calibri"/>
      <family val="2"/>
      <scheme val="minor"/>
    </font>
    <font>
      <sz val="12"/>
      <color theme="1"/>
      <name val="Calibri"/>
      <family val="2"/>
      <scheme val="minor"/>
    </font>
    <font>
      <sz val="8"/>
      <name val="Calibri"/>
      <family val="2"/>
      <scheme val="minor"/>
    </font>
    <font>
      <sz val="12"/>
      <color theme="0"/>
      <name val="Calibri"/>
      <family val="2"/>
      <scheme val="minor"/>
    </font>
    <font>
      <sz val="11"/>
      <color theme="1"/>
      <name val="Aptos"/>
      <family val="2"/>
    </font>
    <font>
      <sz val="12"/>
      <color rgb="FF000000"/>
      <name val="Aptos Narrow"/>
      <family val="2"/>
    </font>
    <font>
      <sz val="12"/>
      <color rgb="FFFF0000"/>
      <name val="Calibri"/>
      <family val="2"/>
      <scheme val="minor"/>
    </font>
  </fonts>
  <fills count="20">
    <fill>
      <patternFill patternType="none"/>
    </fill>
    <fill>
      <patternFill patternType="gray125"/>
    </fill>
    <fill>
      <patternFill patternType="solid">
        <fgColor theme="0" tint="-0.14999847407452621"/>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rgb="FFEBEEF1"/>
        <bgColor rgb="FF000000"/>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rgb="FFCBD3DE"/>
        <bgColor indexed="64"/>
      </patternFill>
    </fill>
    <fill>
      <patternFill patternType="solid">
        <fgColor rgb="FFEBEEF1"/>
        <bgColor indexed="64"/>
      </patternFill>
    </fill>
    <fill>
      <patternFill patternType="solid">
        <fgColor theme="9" tint="0.79998168889431442"/>
        <bgColor indexed="64"/>
      </patternFill>
    </fill>
    <fill>
      <patternFill patternType="solid">
        <fgColor rgb="FFFFFF00"/>
        <bgColor indexed="64"/>
      </patternFill>
    </fill>
    <fill>
      <patternFill patternType="solid">
        <fgColor theme="9"/>
        <bgColor indexed="64"/>
      </patternFill>
    </fill>
    <fill>
      <patternFill patternType="solid">
        <fgColor theme="5"/>
        <bgColor indexed="64"/>
      </patternFill>
    </fill>
    <fill>
      <patternFill patternType="solid">
        <fgColor rgb="FFC0000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s>
  <borders count="108">
    <border>
      <left/>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right style="thin">
        <color theme="1"/>
      </right>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rgb="FF000000"/>
      </left>
      <right style="thin">
        <color rgb="FF000000"/>
      </right>
      <top style="thin">
        <color rgb="FF000000"/>
      </top>
      <bottom style="thin">
        <color rgb="FF000000"/>
      </bottom>
      <diagonal/>
    </border>
    <border>
      <left style="thin">
        <color theme="1"/>
      </left>
      <right style="thin">
        <color theme="1"/>
      </right>
      <top style="thin">
        <color theme="0"/>
      </top>
      <bottom style="thin">
        <color theme="1"/>
      </bottom>
      <diagonal/>
    </border>
    <border>
      <left style="thin">
        <color theme="1"/>
      </left>
      <right style="thin">
        <color theme="1"/>
      </right>
      <top style="thin">
        <color theme="1"/>
      </top>
      <bottom style="thin">
        <color theme="0"/>
      </bottom>
      <diagonal/>
    </border>
    <border>
      <left/>
      <right style="thin">
        <color theme="1"/>
      </right>
      <top style="thin">
        <color theme="1"/>
      </top>
      <bottom style="thin">
        <color theme="0"/>
      </bottom>
      <diagonal/>
    </border>
    <border>
      <left/>
      <right style="thin">
        <color theme="1"/>
      </right>
      <top style="thin">
        <color theme="0"/>
      </top>
      <bottom style="thin">
        <color theme="1"/>
      </bottom>
      <diagonal/>
    </border>
    <border>
      <left/>
      <right style="thin">
        <color theme="1"/>
      </right>
      <top/>
      <bottom/>
      <diagonal/>
    </border>
    <border>
      <left style="thin">
        <color theme="1"/>
      </left>
      <right/>
      <top/>
      <bottom/>
      <diagonal/>
    </border>
    <border>
      <left style="thin">
        <color theme="1"/>
      </left>
      <right style="thin">
        <color theme="1"/>
      </right>
      <top/>
      <bottom style="medium">
        <color theme="1"/>
      </bottom>
      <diagonal/>
    </border>
    <border>
      <left style="thin">
        <color theme="1"/>
      </left>
      <right style="thin">
        <color theme="1"/>
      </right>
      <top style="thin">
        <color theme="0"/>
      </top>
      <bottom style="medium">
        <color theme="1"/>
      </bottom>
      <diagonal/>
    </border>
    <border>
      <left/>
      <right style="thin">
        <color theme="1"/>
      </right>
      <top style="medium">
        <color theme="1"/>
      </top>
      <bottom/>
      <diagonal/>
    </border>
    <border>
      <left style="thin">
        <color theme="1"/>
      </left>
      <right style="thin">
        <color theme="1"/>
      </right>
      <top style="medium">
        <color theme="1"/>
      </top>
      <bottom/>
      <diagonal/>
    </border>
    <border>
      <left style="thin">
        <color theme="1"/>
      </left>
      <right style="thin">
        <color theme="1"/>
      </right>
      <top style="medium">
        <color theme="1"/>
      </top>
      <bottom style="thin">
        <color theme="0"/>
      </bottom>
      <diagonal/>
    </border>
    <border>
      <left/>
      <right style="thin">
        <color theme="1"/>
      </right>
      <top/>
      <bottom style="medium">
        <color theme="1"/>
      </bottom>
      <diagonal/>
    </border>
    <border>
      <left style="thin">
        <color theme="1"/>
      </left>
      <right/>
      <top style="thin">
        <color theme="0"/>
      </top>
      <bottom style="medium">
        <color theme="1"/>
      </bottom>
      <diagonal/>
    </border>
    <border>
      <left style="thin">
        <color theme="1"/>
      </left>
      <right style="thin">
        <color theme="1"/>
      </right>
      <top style="thin">
        <color theme="1"/>
      </top>
      <bottom style="thin">
        <color rgb="FF000000"/>
      </bottom>
      <diagonal/>
    </border>
    <border>
      <left/>
      <right/>
      <top/>
      <bottom style="medium">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000000"/>
      </left>
      <right style="thin">
        <color theme="1"/>
      </right>
      <top style="thin">
        <color theme="1"/>
      </top>
      <bottom style="thin">
        <color theme="1"/>
      </bottom>
      <diagonal/>
    </border>
    <border>
      <left style="thin">
        <color theme="1"/>
      </left>
      <right style="medium">
        <color rgb="FF000000"/>
      </right>
      <top style="thin">
        <color theme="1"/>
      </top>
      <bottom style="thin">
        <color theme="1"/>
      </bottom>
      <diagonal/>
    </border>
    <border>
      <left style="thin">
        <color rgb="FF000000"/>
      </left>
      <right style="thin">
        <color rgb="FF000000"/>
      </right>
      <top/>
      <bottom style="thin">
        <color rgb="FF000000"/>
      </bottom>
      <diagonal/>
    </border>
    <border>
      <left style="thin">
        <color theme="1"/>
      </left>
      <right/>
      <top/>
      <bottom style="thin">
        <color theme="1"/>
      </bottom>
      <diagonal/>
    </border>
    <border>
      <left style="thin">
        <color theme="1"/>
      </left>
      <right style="thin">
        <color theme="1"/>
      </right>
      <top style="thin">
        <color theme="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bottom style="thin">
        <color rgb="FF000000"/>
      </bottom>
      <diagonal/>
    </border>
    <border>
      <left style="medium">
        <color rgb="FF000000"/>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theme="1"/>
      </right>
      <top style="thin">
        <color theme="1"/>
      </top>
      <bottom style="medium">
        <color rgb="FF000000"/>
      </bottom>
      <diagonal/>
    </border>
    <border>
      <left style="thin">
        <color theme="1"/>
      </left>
      <right/>
      <top style="thin">
        <color theme="1"/>
      </top>
      <bottom style="medium">
        <color rgb="FF000000"/>
      </bottom>
      <diagonal/>
    </border>
    <border>
      <left/>
      <right style="medium">
        <color rgb="FF000000"/>
      </right>
      <top style="thin">
        <color rgb="FF000000"/>
      </top>
      <bottom/>
      <diagonal/>
    </border>
    <border>
      <left style="medium">
        <color rgb="FF000000"/>
      </left>
      <right style="medium">
        <color rgb="FF000000"/>
      </right>
      <top/>
      <bottom style="thin">
        <color rgb="FF000000"/>
      </bottom>
      <diagonal/>
    </border>
    <border>
      <left style="medium">
        <color rgb="FF000000"/>
      </left>
      <right style="medium">
        <color rgb="FF000000"/>
      </right>
      <top/>
      <bottom style="thin">
        <color theme="1"/>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right style="thin">
        <color theme="1"/>
      </right>
      <top style="thin">
        <color theme="1"/>
      </top>
      <bottom style="medium">
        <color rgb="FF000000"/>
      </bottom>
      <diagonal/>
    </border>
    <border>
      <left/>
      <right style="thin">
        <color rgb="FF000000"/>
      </right>
      <top style="medium">
        <color rgb="FF000000"/>
      </top>
      <bottom style="thin">
        <color rgb="FF000000"/>
      </bottom>
      <diagonal/>
    </border>
    <border>
      <left style="thin">
        <color rgb="FF000000"/>
      </left>
      <right/>
      <top/>
      <bottom/>
      <diagonal/>
    </border>
    <border>
      <left/>
      <right style="thin">
        <color rgb="FF000000"/>
      </right>
      <top/>
      <bottom style="thin">
        <color rgb="FF000000"/>
      </bottom>
      <diagonal/>
    </border>
    <border>
      <left style="thin">
        <color theme="1"/>
      </left>
      <right style="medium">
        <color rgb="FF000000"/>
      </right>
      <top style="thin">
        <color theme="1"/>
      </top>
      <bottom style="medium">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style="thin">
        <color theme="1"/>
      </right>
      <top/>
      <bottom style="thin">
        <color theme="1"/>
      </bottom>
      <diagonal/>
    </border>
    <border>
      <left style="thin">
        <color theme="1"/>
      </left>
      <right style="medium">
        <color rgb="FF000000"/>
      </right>
      <top/>
      <bottom style="thin">
        <color theme="1"/>
      </bottom>
      <diagonal/>
    </border>
    <border>
      <left/>
      <right style="thin">
        <color theme="1"/>
      </right>
      <top style="thin">
        <color theme="0"/>
      </top>
      <bottom style="medium">
        <color theme="1"/>
      </bottom>
      <diagonal/>
    </border>
    <border>
      <left style="thin">
        <color theme="1"/>
      </left>
      <right/>
      <top style="thin">
        <color theme="1"/>
      </top>
      <bottom/>
      <diagonal/>
    </border>
    <border>
      <left/>
      <right style="thin">
        <color theme="1"/>
      </right>
      <top style="thin">
        <color theme="1"/>
      </top>
      <bottom/>
      <diagonal/>
    </border>
    <border>
      <left style="thin">
        <color theme="1"/>
      </left>
      <right/>
      <top/>
      <bottom style="medium">
        <color indexed="64"/>
      </bottom>
      <diagonal/>
    </border>
    <border>
      <left/>
      <right/>
      <top/>
      <bottom style="medium">
        <color indexed="64"/>
      </bottom>
      <diagonal/>
    </border>
    <border>
      <left/>
      <right style="thin">
        <color theme="1"/>
      </right>
      <top/>
      <bottom style="medium">
        <color indexed="64"/>
      </bottom>
      <diagonal/>
    </border>
    <border>
      <left style="thin">
        <color theme="1"/>
      </left>
      <right style="thin">
        <color theme="1"/>
      </right>
      <top style="medium">
        <color indexed="64"/>
      </top>
      <bottom style="thin">
        <color rgb="FFEBEEF1"/>
      </bottom>
      <diagonal/>
    </border>
    <border>
      <left style="thin">
        <color theme="1"/>
      </left>
      <right style="thin">
        <color theme="1"/>
      </right>
      <top style="thin">
        <color rgb="FFEBEEF1"/>
      </top>
      <bottom style="medium">
        <color theme="1"/>
      </bottom>
      <diagonal/>
    </border>
    <border>
      <left style="thin">
        <color theme="1"/>
      </left>
      <right style="thin">
        <color theme="1"/>
      </right>
      <top style="thin">
        <color theme="0" tint="-4.9989318521683403E-2"/>
      </top>
      <bottom style="thin">
        <color theme="1"/>
      </bottom>
      <diagonal/>
    </border>
    <border>
      <left style="thin">
        <color theme="1"/>
      </left>
      <right style="thin">
        <color theme="1"/>
      </right>
      <top style="thin">
        <color theme="0" tint="-4.9989318521683403E-2"/>
      </top>
      <bottom style="medium">
        <color theme="1"/>
      </bottom>
      <diagonal/>
    </border>
    <border>
      <left style="thin">
        <color theme="1"/>
      </left>
      <right style="thin">
        <color theme="1"/>
      </right>
      <top style="thin">
        <color theme="0" tint="-4.9989318521683403E-2"/>
      </top>
      <bottom style="medium">
        <color rgb="FF000000"/>
      </bottom>
      <diagonal/>
    </border>
    <border>
      <left/>
      <right/>
      <top/>
      <bottom style="thin">
        <color theme="1"/>
      </bottom>
      <diagonal/>
    </border>
    <border>
      <left style="thin">
        <color theme="1"/>
      </left>
      <right style="thin">
        <color rgb="FF000000"/>
      </right>
      <top style="thin">
        <color theme="0"/>
      </top>
      <bottom style="thin">
        <color theme="1"/>
      </bottom>
      <diagonal/>
    </border>
    <border>
      <left style="thin">
        <color theme="1"/>
      </left>
      <right style="thin">
        <color theme="1"/>
      </right>
      <top style="thin">
        <color theme="0"/>
      </top>
      <bottom/>
      <diagonal/>
    </border>
    <border>
      <left style="thin">
        <color theme="0"/>
      </left>
      <right/>
      <top/>
      <bottom/>
      <diagonal/>
    </border>
    <border>
      <left style="thin">
        <color theme="1"/>
      </left>
      <right/>
      <top style="thin">
        <color theme="0"/>
      </top>
      <bottom/>
      <diagonal/>
    </border>
    <border>
      <left style="thin">
        <color theme="1"/>
      </left>
      <right style="thin">
        <color theme="0"/>
      </right>
      <top style="thin">
        <color theme="0"/>
      </top>
      <bottom style="medium">
        <color theme="1"/>
      </bottom>
      <diagonal/>
    </border>
    <border>
      <left style="thin">
        <color theme="1"/>
      </left>
      <right style="thin">
        <color theme="1"/>
      </right>
      <top/>
      <bottom style="thin">
        <color rgb="FF000000"/>
      </bottom>
      <diagonal/>
    </border>
    <border>
      <left style="thin">
        <color theme="0"/>
      </left>
      <right/>
      <top style="thin">
        <color theme="0"/>
      </top>
      <bottom/>
      <diagonal/>
    </border>
    <border>
      <left style="thin">
        <color theme="1"/>
      </left>
      <right/>
      <top style="thin">
        <color theme="0"/>
      </top>
      <bottom style="thin">
        <color theme="0"/>
      </bottom>
      <diagonal/>
    </border>
    <border>
      <left style="thin">
        <color theme="1"/>
      </left>
      <right style="thin">
        <color theme="1"/>
      </right>
      <top style="thin">
        <color rgb="FFEBEEF1"/>
      </top>
      <bottom/>
      <diagonal/>
    </border>
    <border>
      <left style="thin">
        <color theme="1"/>
      </left>
      <right style="thin">
        <color theme="1"/>
      </right>
      <top style="thin">
        <color rgb="FFEBEEF1"/>
      </top>
      <bottom style="thin">
        <color theme="1"/>
      </bottom>
      <diagonal/>
    </border>
    <border>
      <left/>
      <right/>
      <top style="thin">
        <color theme="1"/>
      </top>
      <bottom/>
      <diagonal/>
    </border>
    <border>
      <left style="thin">
        <color theme="0"/>
      </left>
      <right style="thin">
        <color theme="0"/>
      </right>
      <top/>
      <bottom style="medium">
        <color theme="1"/>
      </bottom>
      <diagonal/>
    </border>
    <border>
      <left style="thin">
        <color theme="0"/>
      </left>
      <right/>
      <top/>
      <bottom style="medium">
        <color theme="1"/>
      </bottom>
      <diagonal/>
    </border>
    <border>
      <left/>
      <right/>
      <top/>
      <bottom style="medium">
        <color theme="1"/>
      </bottom>
      <diagonal/>
    </border>
    <border>
      <left/>
      <right style="thin">
        <color theme="0"/>
      </right>
      <top/>
      <bottom style="medium">
        <color theme="1"/>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s>
  <cellStyleXfs count="4">
    <xf numFmtId="0" fontId="0" fillId="0" borderId="0"/>
    <xf numFmtId="0" fontId="1" fillId="0" borderId="0"/>
    <xf numFmtId="0" fontId="7" fillId="0" borderId="0" applyNumberFormat="0" applyFill="0" applyBorder="0" applyAlignment="0" applyProtection="0"/>
    <xf numFmtId="9" fontId="15" fillId="0" borderId="0" applyFont="0" applyFill="0" applyBorder="0" applyAlignment="0" applyProtection="0"/>
  </cellStyleXfs>
  <cellXfs count="573">
    <xf numFmtId="0" fontId="0" fillId="0" borderId="0" xfId="0"/>
    <xf numFmtId="15" fontId="0" fillId="0" borderId="0" xfId="0" applyNumberFormat="1" applyAlignment="1">
      <alignment horizontal="left"/>
    </xf>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xf>
    <xf numFmtId="0" fontId="2" fillId="0" borderId="0" xfId="0" applyFont="1"/>
    <xf numFmtId="0" fontId="2"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left"/>
    </xf>
    <xf numFmtId="0" fontId="0" fillId="0" borderId="1" xfId="1" applyFont="1" applyBorder="1" applyAlignment="1">
      <alignment horizontal="left" vertical="top" wrapText="1"/>
    </xf>
    <xf numFmtId="0" fontId="0" fillId="0" borderId="1" xfId="1" applyFont="1" applyBorder="1" applyAlignment="1">
      <alignment horizontal="left" vertical="top"/>
    </xf>
    <xf numFmtId="0" fontId="5" fillId="0" borderId="1" xfId="1" applyFont="1" applyBorder="1" applyAlignment="1">
      <alignment horizontal="left" vertical="top" wrapText="1"/>
    </xf>
    <xf numFmtId="0" fontId="6" fillId="0" borderId="1" xfId="1" applyFont="1" applyBorder="1" applyAlignment="1">
      <alignment horizontal="left" vertical="top" wrapText="1"/>
    </xf>
    <xf numFmtId="0" fontId="0" fillId="0" borderId="1" xfId="0" applyBorder="1" applyAlignment="1">
      <alignment vertical="top" wrapText="1"/>
    </xf>
    <xf numFmtId="0" fontId="0" fillId="0" borderId="1" xfId="0" applyBorder="1" applyAlignment="1">
      <alignment horizontal="left" vertical="top" wrapText="1"/>
    </xf>
    <xf numFmtId="0" fontId="0" fillId="0" borderId="1" xfId="1" applyFont="1" applyBorder="1" applyAlignment="1">
      <alignment vertical="top" wrapText="1"/>
    </xf>
    <xf numFmtId="0" fontId="2" fillId="2" borderId="1" xfId="0" applyFont="1" applyFill="1" applyBorder="1" applyAlignment="1">
      <alignment vertical="center"/>
    </xf>
    <xf numFmtId="0" fontId="0" fillId="0" borderId="1" xfId="0" applyBorder="1" applyAlignment="1">
      <alignment vertical="top"/>
    </xf>
    <xf numFmtId="0" fontId="0" fillId="0" borderId="1" xfId="0" applyBorder="1" applyAlignment="1">
      <alignment horizontal="left" vertical="top"/>
    </xf>
    <xf numFmtId="0" fontId="6" fillId="0" borderId="1" xfId="1" applyFont="1" applyBorder="1" applyAlignment="1">
      <alignment vertical="top" wrapText="1"/>
    </xf>
    <xf numFmtId="0" fontId="0" fillId="0" borderId="0" xfId="0" applyAlignment="1">
      <alignment wrapText="1"/>
    </xf>
    <xf numFmtId="0" fontId="7" fillId="0" borderId="1" xfId="2" applyBorder="1" applyAlignment="1">
      <alignment horizontal="left" vertical="top"/>
    </xf>
    <xf numFmtId="0" fontId="7" fillId="0" borderId="1" xfId="2" applyBorder="1" applyAlignment="1">
      <alignment horizontal="left" vertical="top" wrapText="1"/>
    </xf>
    <xf numFmtId="0" fontId="5" fillId="0" borderId="9" xfId="0" applyFont="1" applyBorder="1" applyAlignment="1">
      <alignment horizontal="left" vertical="top" wrapText="1"/>
    </xf>
    <xf numFmtId="0" fontId="0" fillId="0" borderId="1" xfId="1" quotePrefix="1" applyFont="1" applyBorder="1" applyAlignment="1">
      <alignment horizontal="left" vertical="top" wrapText="1"/>
    </xf>
    <xf numFmtId="0" fontId="0" fillId="0" borderId="1" xfId="0" applyBorder="1" applyAlignment="1">
      <alignment horizontal="left" vertical="center"/>
    </xf>
    <xf numFmtId="0" fontId="0" fillId="0" borderId="10" xfId="0" applyBorder="1" applyAlignment="1">
      <alignment horizontal="center" vertical="top" wrapText="1"/>
    </xf>
    <xf numFmtId="0" fontId="0" fillId="0" borderId="3" xfId="0" applyBorder="1" applyAlignment="1">
      <alignment horizontal="center" vertical="top" wrapText="1"/>
    </xf>
    <xf numFmtId="0" fontId="0" fillId="0" borderId="11" xfId="0" applyBorder="1" applyAlignment="1">
      <alignment horizontal="center" vertical="top" wrapText="1"/>
    </xf>
    <xf numFmtId="0" fontId="2" fillId="0" borderId="4" xfId="0" applyFont="1" applyBorder="1" applyAlignment="1">
      <alignment horizontal="center" vertical="top" wrapText="1"/>
    </xf>
    <xf numFmtId="0" fontId="0" fillId="0" borderId="13" xfId="0" applyBorder="1" applyAlignment="1">
      <alignment horizontal="center" vertical="top" wrapText="1"/>
    </xf>
    <xf numFmtId="0" fontId="2" fillId="0" borderId="12" xfId="0" applyFont="1" applyBorder="1" applyAlignment="1">
      <alignment horizontal="center" vertical="top" wrapText="1"/>
    </xf>
    <xf numFmtId="0" fontId="0" fillId="0" borderId="5" xfId="0" applyBorder="1" applyAlignment="1">
      <alignment horizontal="center" vertical="top" wrapText="1"/>
    </xf>
    <xf numFmtId="0" fontId="0" fillId="0" borderId="15" xfId="0" applyBorder="1"/>
    <xf numFmtId="0" fontId="0" fillId="0" borderId="12" xfId="0" applyBorder="1" applyAlignment="1">
      <alignment horizontal="center" vertical="top" wrapText="1"/>
    </xf>
    <xf numFmtId="0" fontId="0" fillId="0" borderId="11" xfId="0" applyBorder="1" applyAlignment="1">
      <alignment horizontal="center" vertical="top"/>
    </xf>
    <xf numFmtId="0" fontId="0" fillId="0" borderId="2" xfId="0" applyBorder="1" applyAlignment="1">
      <alignment horizontal="center" vertical="top"/>
    </xf>
    <xf numFmtId="0" fontId="2" fillId="0" borderId="18" xfId="0" applyFont="1" applyBorder="1" applyAlignment="1">
      <alignment horizontal="center" vertical="top" wrapText="1"/>
    </xf>
    <xf numFmtId="0" fontId="2" fillId="0" borderId="19" xfId="0" applyFont="1" applyBorder="1" applyAlignment="1">
      <alignment horizontal="center" vertical="top" wrapText="1"/>
    </xf>
    <xf numFmtId="0" fontId="2" fillId="0" borderId="20" xfId="0" applyFont="1" applyBorder="1" applyAlignment="1">
      <alignment horizontal="center" vertical="top" wrapText="1"/>
    </xf>
    <xf numFmtId="0" fontId="0" fillId="0" borderId="22" xfId="0" applyBorder="1" applyAlignment="1">
      <alignment horizontal="center" vertical="top"/>
    </xf>
    <xf numFmtId="0" fontId="0" fillId="0" borderId="17" xfId="0" applyBorder="1" applyAlignment="1">
      <alignment horizontal="center" vertical="top"/>
    </xf>
    <xf numFmtId="0" fontId="0" fillId="0" borderId="22" xfId="0" applyBorder="1" applyAlignment="1">
      <alignment horizontal="center" vertical="top" wrapText="1"/>
    </xf>
    <xf numFmtId="0" fontId="0" fillId="0" borderId="0" xfId="0" applyAlignment="1">
      <alignment horizontal="left" wrapText="1"/>
    </xf>
    <xf numFmtId="0" fontId="0" fillId="0" borderId="1" xfId="0" applyBorder="1" applyAlignment="1">
      <alignment horizontal="left" wrapText="1"/>
    </xf>
    <xf numFmtId="0" fontId="0" fillId="3" borderId="1" xfId="0" applyFill="1" applyBorder="1" applyAlignment="1">
      <alignment horizontal="left" vertical="top" wrapText="1"/>
    </xf>
    <xf numFmtId="0" fontId="0" fillId="3" borderId="1" xfId="1" applyFont="1" applyFill="1" applyBorder="1" applyAlignment="1">
      <alignment horizontal="left" vertical="top"/>
    </xf>
    <xf numFmtId="0" fontId="0" fillId="3" borderId="1" xfId="1" applyFont="1" applyFill="1" applyBorder="1" applyAlignment="1">
      <alignment horizontal="left" vertical="top" wrapText="1"/>
    </xf>
    <xf numFmtId="0" fontId="0" fillId="4" borderId="1" xfId="0" applyFill="1" applyBorder="1" applyAlignment="1">
      <alignment horizontal="left" vertical="top" wrapText="1"/>
    </xf>
    <xf numFmtId="0" fontId="0" fillId="4" borderId="1" xfId="1" applyFont="1" applyFill="1" applyBorder="1" applyAlignment="1">
      <alignment horizontal="left" vertical="top"/>
    </xf>
    <xf numFmtId="0" fontId="0" fillId="4" borderId="1" xfId="1" applyFont="1" applyFill="1" applyBorder="1" applyAlignment="1">
      <alignment horizontal="left" vertical="top" wrapText="1"/>
    </xf>
    <xf numFmtId="0" fontId="0" fillId="5" borderId="1" xfId="0" applyFill="1" applyBorder="1" applyAlignment="1">
      <alignment horizontal="left" vertical="top" wrapText="1"/>
    </xf>
    <xf numFmtId="0" fontId="0" fillId="5" borderId="1" xfId="1" applyFont="1" applyFill="1" applyBorder="1" applyAlignment="1">
      <alignment horizontal="left" vertical="top"/>
    </xf>
    <xf numFmtId="0" fontId="0" fillId="5" borderId="1" xfId="1" applyFont="1" applyFill="1" applyBorder="1" applyAlignment="1">
      <alignment horizontal="left" vertical="top" wrapText="1"/>
    </xf>
    <xf numFmtId="0" fontId="5" fillId="5" borderId="1" xfId="1" applyFont="1" applyFill="1" applyBorder="1" applyAlignment="1">
      <alignment horizontal="left" vertical="top" wrapText="1"/>
    </xf>
    <xf numFmtId="0" fontId="7" fillId="5" borderId="1" xfId="2" applyFill="1" applyBorder="1" applyAlignment="1">
      <alignment horizontal="left" vertical="top" wrapText="1"/>
    </xf>
    <xf numFmtId="0" fontId="5" fillId="5" borderId="1" xfId="1" applyFont="1" applyFill="1" applyBorder="1" applyAlignment="1">
      <alignment vertical="top" wrapText="1"/>
    </xf>
    <xf numFmtId="0" fontId="5" fillId="5" borderId="9" xfId="0" applyFont="1" applyFill="1" applyBorder="1" applyAlignment="1">
      <alignment horizontal="left" vertical="top" wrapText="1"/>
    </xf>
    <xf numFmtId="0" fontId="0" fillId="5" borderId="1" xfId="0" applyFill="1" applyBorder="1" applyAlignment="1">
      <alignment horizontal="left" vertical="top"/>
    </xf>
    <xf numFmtId="0" fontId="0" fillId="5" borderId="1" xfId="1" quotePrefix="1" applyFont="1" applyFill="1" applyBorder="1" applyAlignment="1">
      <alignment horizontal="left" vertical="top" wrapText="1"/>
    </xf>
    <xf numFmtId="0" fontId="0" fillId="5" borderId="1" xfId="0" applyFill="1" applyBorder="1" applyAlignment="1">
      <alignment horizontal="left" vertical="center"/>
    </xf>
    <xf numFmtId="0" fontId="0" fillId="5" borderId="1" xfId="0" applyFill="1" applyBorder="1" applyAlignment="1">
      <alignment horizontal="left" wrapText="1"/>
    </xf>
    <xf numFmtId="0" fontId="6" fillId="4" borderId="1" xfId="1" applyFont="1" applyFill="1" applyBorder="1" applyAlignment="1">
      <alignment vertical="top" wrapText="1"/>
    </xf>
    <xf numFmtId="0" fontId="2" fillId="2" borderId="1" xfId="0" applyFont="1" applyFill="1" applyBorder="1" applyAlignment="1">
      <alignment horizontal="center" vertical="top" wrapText="1"/>
    </xf>
    <xf numFmtId="0" fontId="0" fillId="5" borderId="1" xfId="0" applyFill="1" applyBorder="1" applyAlignment="1">
      <alignment vertical="top"/>
    </xf>
    <xf numFmtId="0" fontId="0" fillId="5" borderId="1" xfId="0" applyFill="1" applyBorder="1" applyAlignment="1">
      <alignment vertical="top" wrapText="1"/>
    </xf>
    <xf numFmtId="0" fontId="7" fillId="5" borderId="1" xfId="2" applyFill="1" applyBorder="1" applyAlignment="1">
      <alignment vertical="top"/>
    </xf>
    <xf numFmtId="0" fontId="0" fillId="0" borderId="4" xfId="0" applyBorder="1" applyAlignment="1">
      <alignment vertical="top" wrapText="1"/>
    </xf>
    <xf numFmtId="0" fontId="5" fillId="5" borderId="0" xfId="0" applyFont="1" applyFill="1" applyAlignment="1">
      <alignment vertical="top" wrapText="1"/>
    </xf>
    <xf numFmtId="0" fontId="10" fillId="0" borderId="0" xfId="0" applyFont="1" applyAlignment="1">
      <alignment horizontal="left" vertical="center"/>
    </xf>
    <xf numFmtId="0" fontId="0" fillId="3" borderId="0" xfId="1" applyFont="1" applyFill="1" applyAlignment="1">
      <alignment horizontal="left" vertical="top"/>
    </xf>
    <xf numFmtId="0" fontId="0" fillId="4" borderId="0" xfId="1" applyFont="1" applyFill="1" applyAlignment="1">
      <alignment horizontal="left" vertical="top"/>
    </xf>
    <xf numFmtId="0" fontId="2" fillId="0" borderId="24" xfId="0" applyFont="1" applyBorder="1" applyAlignment="1">
      <alignment horizontal="left" vertical="center"/>
    </xf>
    <xf numFmtId="0" fontId="0" fillId="0" borderId="24" xfId="0" applyBorder="1" applyAlignment="1">
      <alignment horizontal="left" vertical="center"/>
    </xf>
    <xf numFmtId="0" fontId="2" fillId="0" borderId="25" xfId="0" applyFont="1" applyBorder="1" applyAlignment="1">
      <alignment horizontal="left" vertical="center"/>
    </xf>
    <xf numFmtId="0" fontId="0" fillId="0" borderId="25" xfId="0" applyBorder="1" applyAlignment="1">
      <alignment horizontal="left" vertical="center"/>
    </xf>
    <xf numFmtId="0" fontId="10" fillId="0" borderId="25" xfId="0" applyFont="1" applyBorder="1" applyAlignment="1">
      <alignment horizontal="left" vertical="center"/>
    </xf>
    <xf numFmtId="0" fontId="0" fillId="0" borderId="0" xfId="0" quotePrefix="1" applyAlignment="1">
      <alignment horizontal="left" vertical="center"/>
    </xf>
    <xf numFmtId="0" fontId="0" fillId="0" borderId="24" xfId="0" applyBorder="1"/>
    <xf numFmtId="0" fontId="0" fillId="0" borderId="24" xfId="0" applyBorder="1" applyAlignment="1">
      <alignment wrapText="1"/>
    </xf>
    <xf numFmtId="0" fontId="0" fillId="0" borderId="25" xfId="0" applyBorder="1" applyAlignment="1">
      <alignment wrapText="1"/>
    </xf>
    <xf numFmtId="0" fontId="0" fillId="0" borderId="25" xfId="0" applyBorder="1"/>
    <xf numFmtId="0" fontId="2" fillId="7" borderId="4" xfId="0" applyFont="1" applyFill="1" applyBorder="1" applyAlignment="1">
      <alignment horizontal="center" vertical="top" wrapText="1"/>
    </xf>
    <xf numFmtId="0" fontId="2" fillId="7" borderId="19" xfId="0" applyFont="1" applyFill="1" applyBorder="1" applyAlignment="1">
      <alignment horizontal="center" vertical="top" wrapText="1"/>
    </xf>
    <xf numFmtId="0" fontId="0" fillId="7" borderId="10" xfId="0" applyFill="1" applyBorder="1" applyAlignment="1">
      <alignment horizontal="center" vertical="top" wrapText="1"/>
    </xf>
    <xf numFmtId="0" fontId="2" fillId="7" borderId="11" xfId="0" applyFont="1" applyFill="1" applyBorder="1" applyAlignment="1">
      <alignment horizontal="center" vertical="top" wrapText="1"/>
    </xf>
    <xf numFmtId="0" fontId="0" fillId="7" borderId="2" xfId="0" applyFill="1" applyBorder="1" applyAlignment="1">
      <alignment horizontal="center" vertical="top"/>
    </xf>
    <xf numFmtId="0" fontId="0" fillId="7" borderId="17" xfId="0" applyFill="1" applyBorder="1" applyAlignment="1">
      <alignment horizontal="center" vertical="top"/>
    </xf>
    <xf numFmtId="0" fontId="0" fillId="7" borderId="13" xfId="0" applyFill="1" applyBorder="1" applyAlignment="1">
      <alignment horizontal="center" vertical="top" wrapText="1"/>
    </xf>
    <xf numFmtId="0" fontId="2" fillId="7" borderId="12" xfId="0" applyFont="1" applyFill="1" applyBorder="1" applyAlignment="1">
      <alignment horizontal="center" vertical="top" wrapText="1"/>
    </xf>
    <xf numFmtId="0" fontId="0" fillId="7" borderId="5" xfId="0" applyFill="1" applyBorder="1" applyAlignment="1">
      <alignment horizontal="center" vertical="top" wrapText="1"/>
    </xf>
    <xf numFmtId="164" fontId="0" fillId="0" borderId="6" xfId="0" applyNumberFormat="1" applyBorder="1"/>
    <xf numFmtId="0" fontId="8" fillId="0" borderId="0" xfId="2" applyFont="1" applyAlignment="1">
      <alignment horizontal="left" vertical="center"/>
    </xf>
    <xf numFmtId="0" fontId="5" fillId="0" borderId="0" xfId="0" applyFont="1" applyAlignment="1">
      <alignment horizontal="left" vertical="center"/>
    </xf>
    <xf numFmtId="0" fontId="5" fillId="0" borderId="0" xfId="0" quotePrefix="1" applyFont="1" applyAlignment="1">
      <alignment horizontal="left" vertical="center"/>
    </xf>
    <xf numFmtId="0" fontId="5" fillId="5" borderId="1" xfId="1" quotePrefix="1" applyFont="1" applyFill="1" applyBorder="1" applyAlignment="1">
      <alignment horizontal="left" vertical="top" wrapText="1"/>
    </xf>
    <xf numFmtId="0" fontId="5" fillId="0" borderId="1" xfId="1" quotePrefix="1" applyFont="1" applyBorder="1" applyAlignment="1">
      <alignment horizontal="left" vertical="top" wrapText="1"/>
    </xf>
    <xf numFmtId="164" fontId="0" fillId="0" borderId="8" xfId="0" applyNumberFormat="1" applyBorder="1"/>
    <xf numFmtId="164" fontId="0" fillId="0" borderId="27" xfId="0" applyNumberFormat="1" applyBorder="1"/>
    <xf numFmtId="164" fontId="0" fillId="0" borderId="28" xfId="0" applyNumberFormat="1" applyBorder="1"/>
    <xf numFmtId="0" fontId="0" fillId="7" borderId="0" xfId="0" applyFill="1"/>
    <xf numFmtId="0" fontId="0" fillId="0" borderId="29" xfId="0" applyBorder="1"/>
    <xf numFmtId="0" fontId="0" fillId="0" borderId="5" xfId="0" applyBorder="1" applyAlignment="1">
      <alignment horizontal="left" vertical="center"/>
    </xf>
    <xf numFmtId="0" fontId="0" fillId="0" borderId="3" xfId="0" applyBorder="1" applyAlignment="1">
      <alignment horizontal="left" vertical="center"/>
    </xf>
    <xf numFmtId="0" fontId="2" fillId="2" borderId="29" xfId="0" applyFont="1" applyFill="1" applyBorder="1"/>
    <xf numFmtId="0" fontId="2" fillId="2" borderId="29" xfId="0" applyFont="1" applyFill="1" applyBorder="1" applyAlignment="1">
      <alignment horizontal="left" vertical="center"/>
    </xf>
    <xf numFmtId="0" fontId="0" fillId="7" borderId="31" xfId="0" applyFill="1" applyBorder="1" applyAlignment="1">
      <alignment horizontal="center" vertical="top" wrapText="1"/>
    </xf>
    <xf numFmtId="0" fontId="2" fillId="8" borderId="4" xfId="0" applyFont="1" applyFill="1" applyBorder="1" applyAlignment="1">
      <alignment horizontal="center" vertical="top" wrapText="1"/>
    </xf>
    <xf numFmtId="0" fontId="2" fillId="8" borderId="19" xfId="0" applyFont="1" applyFill="1" applyBorder="1" applyAlignment="1">
      <alignment horizontal="center" vertical="top" wrapText="1"/>
    </xf>
    <xf numFmtId="0" fontId="2" fillId="8" borderId="2" xfId="0" applyFont="1" applyFill="1" applyBorder="1" applyAlignment="1">
      <alignment horizontal="center" vertical="top" wrapText="1"/>
    </xf>
    <xf numFmtId="0" fontId="11" fillId="0" borderId="32" xfId="0" applyFont="1" applyBorder="1" applyAlignment="1">
      <alignment horizontal="center" vertical="top" wrapText="1"/>
    </xf>
    <xf numFmtId="0" fontId="5" fillId="0" borderId="33" xfId="0" applyFont="1" applyBorder="1" applyAlignment="1">
      <alignment horizontal="left" vertical="top" wrapText="1"/>
    </xf>
    <xf numFmtId="0" fontId="5" fillId="0" borderId="8" xfId="1" applyFont="1" applyBorder="1" applyAlignment="1">
      <alignment horizontal="left" vertical="top" wrapText="1"/>
    </xf>
    <xf numFmtId="0" fontId="0" fillId="5" borderId="8" xfId="1" applyFont="1" applyFill="1" applyBorder="1" applyAlignment="1">
      <alignment horizontal="left" vertical="top" wrapText="1"/>
    </xf>
    <xf numFmtId="0" fontId="0" fillId="0" borderId="30" xfId="0" applyBorder="1" applyAlignment="1">
      <alignment horizontal="left" vertical="center"/>
    </xf>
    <xf numFmtId="0" fontId="10" fillId="0" borderId="0" xfId="0" applyFont="1"/>
    <xf numFmtId="0" fontId="5" fillId="0" borderId="10" xfId="0" applyFont="1" applyBorder="1" applyAlignment="1">
      <alignment horizontal="center" vertical="top" wrapText="1"/>
    </xf>
    <xf numFmtId="0" fontId="10" fillId="5" borderId="3" xfId="1" applyFont="1" applyFill="1" applyBorder="1" applyAlignment="1">
      <alignment horizontal="left" vertical="top" wrapText="1"/>
    </xf>
    <xf numFmtId="0" fontId="10" fillId="5" borderId="1" xfId="1" applyFont="1" applyFill="1" applyBorder="1" applyAlignment="1">
      <alignment horizontal="left" vertical="top" wrapText="1"/>
    </xf>
    <xf numFmtId="0" fontId="0" fillId="3" borderId="9" xfId="1" applyFont="1" applyFill="1" applyBorder="1" applyAlignment="1">
      <alignment horizontal="left" vertical="top" wrapText="1"/>
    </xf>
    <xf numFmtId="0" fontId="0" fillId="4" borderId="9" xfId="1" applyFont="1" applyFill="1" applyBorder="1" applyAlignment="1">
      <alignment horizontal="left" vertical="top" wrapText="1"/>
    </xf>
    <xf numFmtId="0" fontId="0" fillId="5" borderId="9" xfId="1" applyFont="1" applyFill="1" applyBorder="1" applyAlignment="1">
      <alignment horizontal="left" vertical="top" wrapText="1"/>
    </xf>
    <xf numFmtId="0" fontId="0" fillId="0" borderId="9" xfId="1" applyFont="1" applyBorder="1" applyAlignment="1">
      <alignment horizontal="left" vertical="top" wrapText="1"/>
    </xf>
    <xf numFmtId="0" fontId="0" fillId="5" borderId="9" xfId="1" applyFont="1" applyFill="1" applyBorder="1" applyAlignment="1">
      <alignment horizontal="left" vertical="top"/>
    </xf>
    <xf numFmtId="0" fontId="0" fillId="0" borderId="9" xfId="1" applyFont="1" applyBorder="1" applyAlignment="1">
      <alignment horizontal="left" vertical="top"/>
    </xf>
    <xf numFmtId="0" fontId="0" fillId="5" borderId="9" xfId="0" applyFill="1" applyBorder="1" applyAlignment="1">
      <alignment horizontal="left" vertical="top" wrapText="1"/>
    </xf>
    <xf numFmtId="0" fontId="0" fillId="3" borderId="6" xfId="1" applyFont="1" applyFill="1" applyBorder="1" applyAlignment="1">
      <alignment horizontal="left" vertical="top" wrapText="1"/>
    </xf>
    <xf numFmtId="0" fontId="0" fillId="4" borderId="6" xfId="1" applyFont="1" applyFill="1" applyBorder="1" applyAlignment="1">
      <alignment horizontal="left" vertical="top" wrapText="1"/>
    </xf>
    <xf numFmtId="0" fontId="0" fillId="5" borderId="6" xfId="1" applyFont="1" applyFill="1" applyBorder="1" applyAlignment="1">
      <alignment horizontal="left" vertical="top" wrapText="1"/>
    </xf>
    <xf numFmtId="0" fontId="0" fillId="0" borderId="6" xfId="1" applyFont="1" applyBorder="1" applyAlignment="1">
      <alignment horizontal="left" vertical="top" wrapText="1"/>
    </xf>
    <xf numFmtId="0" fontId="0" fillId="5" borderId="6" xfId="1" applyFont="1" applyFill="1" applyBorder="1" applyAlignment="1">
      <alignment horizontal="left" vertical="top"/>
    </xf>
    <xf numFmtId="0" fontId="0" fillId="0" borderId="6" xfId="1" applyFont="1" applyBorder="1" applyAlignment="1">
      <alignment horizontal="left" vertical="top"/>
    </xf>
    <xf numFmtId="0" fontId="5" fillId="5" borderId="33" xfId="0" applyFont="1" applyFill="1" applyBorder="1" applyAlignment="1">
      <alignment horizontal="left" vertical="top" wrapText="1"/>
    </xf>
    <xf numFmtId="0" fontId="0" fillId="5" borderId="6" xfId="0" applyFill="1" applyBorder="1" applyAlignment="1">
      <alignment horizontal="left" vertical="top" wrapText="1"/>
    </xf>
    <xf numFmtId="0" fontId="0" fillId="3" borderId="8" xfId="1" applyFont="1" applyFill="1" applyBorder="1" applyAlignment="1">
      <alignment horizontal="left" vertical="top" wrapText="1"/>
    </xf>
    <xf numFmtId="0" fontId="0" fillId="4" borderId="8" xfId="1" applyFont="1" applyFill="1" applyBorder="1" applyAlignment="1">
      <alignment horizontal="left" vertical="top" wrapText="1"/>
    </xf>
    <xf numFmtId="0" fontId="0" fillId="0" borderId="8" xfId="1" applyFont="1" applyBorder="1" applyAlignment="1">
      <alignment horizontal="left" vertical="top" wrapText="1"/>
    </xf>
    <xf numFmtId="0" fontId="0" fillId="0" borderId="8" xfId="0" quotePrefix="1" applyBorder="1" applyAlignment="1">
      <alignment horizontal="left" vertical="top" wrapText="1"/>
    </xf>
    <xf numFmtId="0" fontId="0" fillId="5" borderId="8" xfId="0" quotePrefix="1" applyFill="1" applyBorder="1" applyAlignment="1">
      <alignment horizontal="left" vertical="top" wrapText="1"/>
    </xf>
    <xf numFmtId="0" fontId="0" fillId="4" borderId="8" xfId="0" applyFill="1" applyBorder="1" applyAlignment="1">
      <alignment horizontal="left" vertical="top" wrapText="1"/>
    </xf>
    <xf numFmtId="0" fontId="0" fillId="5" borderId="8" xfId="0" applyFill="1" applyBorder="1" applyAlignment="1">
      <alignment horizontal="left" vertical="top" wrapText="1"/>
    </xf>
    <xf numFmtId="0" fontId="0" fillId="0" borderId="9" xfId="0" applyBorder="1" applyAlignment="1">
      <alignment horizontal="left" vertical="top"/>
    </xf>
    <xf numFmtId="0" fontId="0" fillId="0" borderId="9" xfId="0" applyBorder="1" applyAlignment="1">
      <alignment horizontal="left" vertical="top" wrapText="1"/>
    </xf>
    <xf numFmtId="0" fontId="0" fillId="0" borderId="33" xfId="0" applyBorder="1" applyAlignment="1">
      <alignment horizontal="left" vertical="top" wrapText="1"/>
    </xf>
    <xf numFmtId="0" fontId="2" fillId="2" borderId="9" xfId="0" applyFont="1" applyFill="1" applyBorder="1" applyAlignment="1">
      <alignment horizontal="left"/>
    </xf>
    <xf numFmtId="0" fontId="0" fillId="7" borderId="9" xfId="0" applyFill="1" applyBorder="1" applyAlignment="1">
      <alignment horizontal="left" vertical="top"/>
    </xf>
    <xf numFmtId="0" fontId="0" fillId="8" borderId="9" xfId="0" applyFill="1" applyBorder="1" applyAlignment="1">
      <alignment horizontal="left" vertical="top"/>
    </xf>
    <xf numFmtId="0" fontId="0" fillId="5" borderId="2" xfId="1" applyFont="1" applyFill="1" applyBorder="1" applyAlignment="1">
      <alignment horizontal="left" vertical="top" wrapText="1"/>
    </xf>
    <xf numFmtId="0" fontId="0" fillId="0" borderId="3" xfId="1" applyFont="1" applyBorder="1" applyAlignment="1">
      <alignment vertical="top" wrapText="1"/>
    </xf>
    <xf numFmtId="0" fontId="0" fillId="0" borderId="3" xfId="1" applyFont="1" applyBorder="1" applyAlignment="1">
      <alignment horizontal="left" vertical="top" wrapText="1"/>
    </xf>
    <xf numFmtId="0" fontId="2" fillId="2" borderId="34" xfId="0" applyFont="1" applyFill="1" applyBorder="1" applyAlignment="1">
      <alignment horizontal="left"/>
    </xf>
    <xf numFmtId="0" fontId="0" fillId="7" borderId="9" xfId="0" applyFill="1" applyBorder="1" applyAlignment="1">
      <alignment horizontal="left" vertical="top" wrapText="1"/>
    </xf>
    <xf numFmtId="0" fontId="0" fillId="0" borderId="0" xfId="0" applyAlignment="1">
      <alignment horizontal="left" vertical="top" wrapText="1"/>
    </xf>
    <xf numFmtId="0" fontId="0" fillId="7" borderId="26" xfId="0" applyFill="1" applyBorder="1" applyAlignment="1">
      <alignment horizontal="left" vertical="top" wrapText="1"/>
    </xf>
    <xf numFmtId="0" fontId="2" fillId="2" borderId="9" xfId="0" applyFont="1" applyFill="1" applyBorder="1" applyAlignment="1">
      <alignment horizontal="center"/>
    </xf>
    <xf numFmtId="0" fontId="2" fillId="0" borderId="0" xfId="0" applyFont="1" applyAlignment="1">
      <alignment horizontal="left" vertical="top"/>
    </xf>
    <xf numFmtId="9" fontId="0" fillId="7" borderId="9" xfId="0" applyNumberFormat="1" applyFill="1" applyBorder="1" applyAlignment="1">
      <alignment horizontal="left" vertical="top" wrapText="1"/>
    </xf>
    <xf numFmtId="9" fontId="0" fillId="7" borderId="26" xfId="0" applyNumberFormat="1" applyFill="1" applyBorder="1" applyAlignment="1">
      <alignment horizontal="left" vertical="top" wrapText="1"/>
    </xf>
    <xf numFmtId="0" fontId="0" fillId="7" borderId="34" xfId="0" applyFill="1" applyBorder="1" applyAlignment="1">
      <alignment horizontal="left" vertical="top" wrapText="1"/>
    </xf>
    <xf numFmtId="9" fontId="0" fillId="7" borderId="33" xfId="0" applyNumberFormat="1" applyFill="1" applyBorder="1" applyAlignment="1">
      <alignment horizontal="left" vertical="top" wrapText="1"/>
    </xf>
    <xf numFmtId="164" fontId="0" fillId="0" borderId="53" xfId="0" applyNumberFormat="1" applyBorder="1"/>
    <xf numFmtId="0" fontId="2" fillId="2" borderId="36" xfId="0" applyFont="1" applyFill="1" applyBorder="1"/>
    <xf numFmtId="0" fontId="0" fillId="0" borderId="56" xfId="0" applyBorder="1"/>
    <xf numFmtId="9" fontId="0" fillId="0" borderId="57" xfId="0" applyNumberFormat="1" applyBorder="1"/>
    <xf numFmtId="1" fontId="0" fillId="0" borderId="57" xfId="0" applyNumberFormat="1" applyBorder="1"/>
    <xf numFmtId="0" fontId="0" fillId="0" borderId="57" xfId="0" applyBorder="1"/>
    <xf numFmtId="164" fontId="0" fillId="0" borderId="57" xfId="0" applyNumberFormat="1" applyBorder="1"/>
    <xf numFmtId="0" fontId="0" fillId="7" borderId="57" xfId="0" applyFill="1" applyBorder="1"/>
    <xf numFmtId="0" fontId="0" fillId="0" borderId="58" xfId="0" applyBorder="1"/>
    <xf numFmtId="166" fontId="0" fillId="0" borderId="57" xfId="0" applyNumberFormat="1" applyBorder="1"/>
    <xf numFmtId="0" fontId="0" fillId="7" borderId="59" xfId="0" applyFill="1" applyBorder="1"/>
    <xf numFmtId="0" fontId="2" fillId="2" borderId="35" xfId="0" applyFont="1" applyFill="1" applyBorder="1" applyAlignment="1">
      <alignment vertical="top"/>
    </xf>
    <xf numFmtId="0" fontId="0" fillId="2" borderId="0" xfId="0" applyFill="1" applyAlignment="1">
      <alignment horizontal="center"/>
    </xf>
    <xf numFmtId="0" fontId="0" fillId="0" borderId="29" xfId="0" applyBorder="1" applyAlignment="1">
      <alignment horizontal="center" vertical="center"/>
    </xf>
    <xf numFmtId="0" fontId="11" fillId="0" borderId="0" xfId="0" applyFont="1" applyAlignment="1">
      <alignment vertical="top"/>
    </xf>
    <xf numFmtId="0" fontId="5" fillId="5" borderId="1" xfId="0" applyFont="1" applyFill="1" applyBorder="1" applyAlignment="1">
      <alignment horizontal="left" vertical="top" wrapText="1"/>
    </xf>
    <xf numFmtId="0" fontId="0" fillId="0" borderId="29" xfId="0" applyBorder="1" applyAlignment="1">
      <alignment horizontal="center" vertical="top"/>
    </xf>
    <xf numFmtId="0" fontId="0" fillId="0" borderId="29" xfId="0" applyBorder="1" applyAlignment="1">
      <alignment horizontal="left" vertical="top" wrapText="1"/>
    </xf>
    <xf numFmtId="9" fontId="0" fillId="0" borderId="27" xfId="0" applyNumberFormat="1" applyBorder="1"/>
    <xf numFmtId="0" fontId="14" fillId="5" borderId="1" xfId="0" applyFont="1" applyFill="1" applyBorder="1" applyAlignment="1">
      <alignment horizontal="left" vertical="top" wrapText="1"/>
    </xf>
    <xf numFmtId="0" fontId="14" fillId="5" borderId="9" xfId="0" applyFont="1" applyFill="1" applyBorder="1" applyAlignment="1">
      <alignment horizontal="left" vertical="top" wrapText="1"/>
    </xf>
    <xf numFmtId="0" fontId="0" fillId="4" borderId="9" xfId="0" applyFill="1" applyBorder="1" applyAlignment="1">
      <alignment horizontal="left" vertical="top" wrapText="1"/>
    </xf>
    <xf numFmtId="0" fontId="0" fillId="0" borderId="6" xfId="0" applyBorder="1" applyAlignment="1">
      <alignment vertical="top"/>
    </xf>
    <xf numFmtId="0" fontId="0" fillId="5" borderId="6" xfId="0" applyFill="1" applyBorder="1" applyAlignment="1">
      <alignment vertical="top"/>
    </xf>
    <xf numFmtId="0" fontId="7" fillId="0" borderId="6" xfId="2" applyBorder="1" applyAlignment="1">
      <alignment horizontal="left" vertical="top"/>
    </xf>
    <xf numFmtId="0" fontId="0" fillId="4" borderId="6" xfId="0" applyFill="1" applyBorder="1" applyAlignment="1">
      <alignment horizontal="left" vertical="top" wrapText="1"/>
    </xf>
    <xf numFmtId="0" fontId="0" fillId="0" borderId="4" xfId="0" applyBorder="1" applyAlignment="1">
      <alignment vertical="top"/>
    </xf>
    <xf numFmtId="0" fontId="7" fillId="5" borderId="9" xfId="2" applyFill="1" applyBorder="1" applyAlignment="1">
      <alignment vertical="top" wrapText="1"/>
    </xf>
    <xf numFmtId="0" fontId="7" fillId="0" borderId="9" xfId="2" applyBorder="1" applyAlignment="1">
      <alignment vertical="top" wrapText="1"/>
    </xf>
    <xf numFmtId="0" fontId="0" fillId="0" borderId="9" xfId="0" applyBorder="1" applyAlignment="1">
      <alignment vertical="top" wrapText="1"/>
    </xf>
    <xf numFmtId="0" fontId="0" fillId="0" borderId="3" xfId="0" applyBorder="1" applyAlignment="1">
      <alignment vertical="top" wrapText="1"/>
    </xf>
    <xf numFmtId="0" fontId="7" fillId="0" borderId="1" xfId="2" applyFill="1" applyBorder="1" applyAlignment="1">
      <alignment horizontal="left" vertical="top" wrapText="1"/>
    </xf>
    <xf numFmtId="0" fontId="8" fillId="0" borderId="9" xfId="0" applyFont="1" applyBorder="1" applyAlignment="1">
      <alignment horizontal="left" vertical="top" wrapText="1"/>
    </xf>
    <xf numFmtId="0" fontId="7" fillId="5" borderId="1" xfId="2" applyFill="1" applyBorder="1" applyAlignment="1">
      <alignment vertical="top" wrapText="1"/>
    </xf>
    <xf numFmtId="0" fontId="7" fillId="8" borderId="1" xfId="2" applyFill="1" applyBorder="1" applyAlignment="1">
      <alignment horizontal="left" vertical="top" wrapText="1"/>
    </xf>
    <xf numFmtId="0" fontId="7" fillId="7" borderId="1" xfId="2" applyFill="1" applyBorder="1" applyAlignment="1">
      <alignment vertical="top" wrapText="1"/>
    </xf>
    <xf numFmtId="164" fontId="0" fillId="0" borderId="64" xfId="0" applyNumberFormat="1" applyBorder="1"/>
    <xf numFmtId="0" fontId="5" fillId="0" borderId="34" xfId="0" applyFont="1" applyBorder="1" applyAlignment="1">
      <alignment vertical="top" wrapText="1"/>
    </xf>
    <xf numFmtId="0" fontId="0" fillId="0" borderId="8" xfId="0" applyBorder="1" applyAlignment="1">
      <alignment vertical="top" wrapText="1"/>
    </xf>
    <xf numFmtId="0" fontId="0" fillId="5" borderId="8" xfId="0" applyFill="1" applyBorder="1" applyAlignment="1">
      <alignment vertical="top" wrapText="1"/>
    </xf>
    <xf numFmtId="0" fontId="5" fillId="6" borderId="34" xfId="0" applyFont="1" applyFill="1" applyBorder="1" applyAlignment="1">
      <alignment vertical="top" wrapText="1"/>
    </xf>
    <xf numFmtId="164" fontId="0" fillId="9" borderId="8" xfId="0" applyNumberFormat="1" applyFill="1" applyBorder="1"/>
    <xf numFmtId="164" fontId="0" fillId="9" borderId="60" xfId="0" applyNumberFormat="1" applyFill="1" applyBorder="1"/>
    <xf numFmtId="164" fontId="0" fillId="9" borderId="27" xfId="0" applyNumberFormat="1" applyFill="1" applyBorder="1"/>
    <xf numFmtId="164" fontId="0" fillId="9" borderId="52" xfId="0" applyNumberFormat="1" applyFill="1" applyBorder="1"/>
    <xf numFmtId="0" fontId="0" fillId="7" borderId="29" xfId="0" applyFill="1" applyBorder="1" applyAlignment="1">
      <alignment horizontal="left" vertical="top" wrapText="1"/>
    </xf>
    <xf numFmtId="0" fontId="5" fillId="5" borderId="3" xfId="1" applyFont="1" applyFill="1" applyBorder="1" applyAlignment="1">
      <alignment horizontal="left" vertical="top" wrapText="1"/>
    </xf>
    <xf numFmtId="9" fontId="0" fillId="0" borderId="8" xfId="3" applyFont="1" applyFill="1" applyBorder="1"/>
    <xf numFmtId="9" fontId="0" fillId="0" borderId="6" xfId="3" applyFont="1" applyFill="1" applyBorder="1"/>
    <xf numFmtId="9" fontId="0" fillId="0" borderId="27" xfId="3" applyFont="1" applyFill="1" applyBorder="1"/>
    <xf numFmtId="0" fontId="2" fillId="2" borderId="5" xfId="0" applyFont="1" applyFill="1" applyBorder="1"/>
    <xf numFmtId="0" fontId="2" fillId="2" borderId="30" xfId="0" applyFont="1" applyFill="1" applyBorder="1"/>
    <xf numFmtId="0" fontId="2" fillId="2" borderId="68" xfId="0" applyFont="1" applyFill="1" applyBorder="1"/>
    <xf numFmtId="0" fontId="2" fillId="2" borderId="69" xfId="0" applyFont="1" applyFill="1" applyBorder="1"/>
    <xf numFmtId="0" fontId="0" fillId="11" borderId="0" xfId="1" applyFont="1" applyFill="1" applyAlignment="1">
      <alignment horizontal="left" vertical="top"/>
    </xf>
    <xf numFmtId="0" fontId="2" fillId="11" borderId="4" xfId="0" applyFont="1" applyFill="1" applyBorder="1" applyAlignment="1">
      <alignment horizontal="center" vertical="top" wrapText="1"/>
    </xf>
    <xf numFmtId="0" fontId="0" fillId="11" borderId="16" xfId="0" applyFill="1" applyBorder="1" applyAlignment="1">
      <alignment horizontal="center" vertical="top" wrapText="1"/>
    </xf>
    <xf numFmtId="0" fontId="2" fillId="11" borderId="76" xfId="0" applyFont="1" applyFill="1" applyBorder="1" applyAlignment="1">
      <alignment horizontal="center" vertical="top" wrapText="1"/>
    </xf>
    <xf numFmtId="0" fontId="0" fillId="11" borderId="77" xfId="0" applyFill="1" applyBorder="1" applyAlignment="1">
      <alignment horizontal="center" vertical="top" wrapText="1"/>
    </xf>
    <xf numFmtId="0" fontId="0" fillId="8" borderId="78" xfId="0" applyFill="1" applyBorder="1" applyAlignment="1">
      <alignment horizontal="center" vertical="top" wrapText="1"/>
    </xf>
    <xf numFmtId="0" fontId="0" fillId="8" borderId="79" xfId="0" applyFill="1" applyBorder="1" applyAlignment="1">
      <alignment horizontal="center" vertical="top" wrapText="1"/>
    </xf>
    <xf numFmtId="0" fontId="0" fillId="8" borderId="80" xfId="0" applyFill="1" applyBorder="1" applyAlignment="1">
      <alignment horizontal="center" vertical="top" wrapText="1"/>
    </xf>
    <xf numFmtId="0" fontId="11" fillId="0" borderId="82" xfId="0" applyFont="1" applyBorder="1" applyAlignment="1">
      <alignment horizontal="center" vertical="top" wrapText="1"/>
    </xf>
    <xf numFmtId="0" fontId="0" fillId="0" borderId="84" xfId="0" applyBorder="1"/>
    <xf numFmtId="0" fontId="4" fillId="0" borderId="86" xfId="0" applyFont="1" applyBorder="1" applyAlignment="1">
      <alignment horizontal="center"/>
    </xf>
    <xf numFmtId="0" fontId="0" fillId="0" borderId="88" xfId="0" applyBorder="1"/>
    <xf numFmtId="0" fontId="0" fillId="0" borderId="89" xfId="0" applyBorder="1"/>
    <xf numFmtId="0" fontId="0" fillId="11" borderId="90" xfId="0" applyFill="1" applyBorder="1" applyAlignment="1">
      <alignment horizontal="center" vertical="top" wrapText="1"/>
    </xf>
    <xf numFmtId="0" fontId="0" fillId="11" borderId="91" xfId="0" applyFill="1" applyBorder="1" applyAlignment="1">
      <alignment horizontal="center" vertical="top" wrapText="1"/>
    </xf>
    <xf numFmtId="0" fontId="2" fillId="0" borderId="11" xfId="0" applyFont="1" applyBorder="1" applyAlignment="1">
      <alignment horizontal="center" vertical="top" wrapText="1"/>
    </xf>
    <xf numFmtId="0" fontId="2" fillId="7" borderId="14" xfId="0" applyFont="1" applyFill="1" applyBorder="1" applyAlignment="1">
      <alignment horizontal="center" vertical="top" wrapText="1"/>
    </xf>
    <xf numFmtId="0" fontId="11" fillId="0" borderId="9" xfId="0" applyFont="1" applyBorder="1" applyAlignment="1">
      <alignment wrapText="1"/>
    </xf>
    <xf numFmtId="0" fontId="5" fillId="5" borderId="23" xfId="1" applyFont="1" applyFill="1" applyBorder="1" applyAlignment="1">
      <alignment horizontal="left" vertical="top" wrapText="1"/>
    </xf>
    <xf numFmtId="0" fontId="5" fillId="5" borderId="2" xfId="1" applyFont="1" applyFill="1" applyBorder="1" applyAlignment="1">
      <alignment horizontal="left" vertical="top" wrapText="1"/>
    </xf>
    <xf numFmtId="0" fontId="3" fillId="0" borderId="93" xfId="0" applyFont="1" applyBorder="1" applyAlignment="1">
      <alignment horizontal="center"/>
    </xf>
    <xf numFmtId="0" fontId="0" fillId="12" borderId="1" xfId="0" applyFill="1" applyBorder="1" applyAlignment="1">
      <alignment horizontal="left" vertical="top" wrapText="1"/>
    </xf>
    <xf numFmtId="0" fontId="0" fillId="12" borderId="1" xfId="1" applyFont="1" applyFill="1" applyBorder="1" applyAlignment="1">
      <alignment horizontal="left" vertical="top"/>
    </xf>
    <xf numFmtId="0" fontId="6" fillId="12" borderId="1" xfId="1" applyFont="1" applyFill="1" applyBorder="1" applyAlignment="1">
      <alignment vertical="top" wrapText="1"/>
    </xf>
    <xf numFmtId="0" fontId="0" fillId="12" borderId="1" xfId="1" applyFont="1" applyFill="1" applyBorder="1" applyAlignment="1">
      <alignment horizontal="left" vertical="top" wrapText="1"/>
    </xf>
    <xf numFmtId="0" fontId="5" fillId="12" borderId="1" xfId="1" applyFont="1" applyFill="1" applyBorder="1" applyAlignment="1">
      <alignment horizontal="left" vertical="top" wrapText="1"/>
    </xf>
    <xf numFmtId="0" fontId="0" fillId="12" borderId="1" xfId="0" applyFill="1" applyBorder="1" applyAlignment="1">
      <alignment horizontal="left" vertical="top"/>
    </xf>
    <xf numFmtId="0" fontId="5" fillId="12" borderId="33" xfId="0" applyFont="1" applyFill="1" applyBorder="1" applyAlignment="1">
      <alignment horizontal="left" vertical="top" wrapText="1"/>
    </xf>
    <xf numFmtId="0" fontId="5" fillId="12" borderId="9" xfId="0" applyFont="1" applyFill="1" applyBorder="1" applyAlignment="1">
      <alignment horizontal="left" vertical="top" wrapText="1"/>
    </xf>
    <xf numFmtId="0" fontId="0" fillId="12" borderId="8" xfId="1" applyFont="1" applyFill="1" applyBorder="1" applyAlignment="1">
      <alignment horizontal="left" vertical="top" wrapText="1"/>
    </xf>
    <xf numFmtId="0" fontId="7" fillId="12" borderId="1" xfId="2" applyFill="1" applyBorder="1" applyAlignment="1">
      <alignment horizontal="left" vertical="top" wrapText="1"/>
    </xf>
    <xf numFmtId="0" fontId="0" fillId="12" borderId="1" xfId="0" applyFill="1" applyBorder="1" applyAlignment="1">
      <alignment vertical="top" wrapText="1"/>
    </xf>
    <xf numFmtId="0" fontId="0" fillId="12" borderId="0" xfId="0" applyFill="1"/>
    <xf numFmtId="0" fontId="11" fillId="12" borderId="9" xfId="0" applyFont="1" applyFill="1" applyBorder="1" applyAlignment="1">
      <alignment wrapText="1"/>
    </xf>
    <xf numFmtId="0" fontId="0" fillId="12" borderId="8" xfId="0" applyFill="1" applyBorder="1" applyAlignment="1">
      <alignment vertical="top" wrapText="1"/>
    </xf>
    <xf numFmtId="0" fontId="14" fillId="12" borderId="1" xfId="0" applyFont="1" applyFill="1" applyBorder="1" applyAlignment="1">
      <alignment horizontal="left" vertical="top" wrapText="1"/>
    </xf>
    <xf numFmtId="0" fontId="0" fillId="12" borderId="6" xfId="0" applyFill="1" applyBorder="1" applyAlignment="1">
      <alignment horizontal="left" vertical="top" wrapText="1"/>
    </xf>
    <xf numFmtId="0" fontId="0" fillId="5" borderId="2" xfId="0" applyFill="1" applyBorder="1" applyAlignment="1">
      <alignment horizontal="left" vertical="top" wrapText="1"/>
    </xf>
    <xf numFmtId="0" fontId="7" fillId="0" borderId="3" xfId="2" applyBorder="1" applyAlignment="1">
      <alignment horizontal="left" vertical="top" wrapText="1"/>
    </xf>
    <xf numFmtId="0" fontId="0" fillId="12" borderId="65" xfId="0" applyFill="1" applyBorder="1"/>
    <xf numFmtId="0" fontId="0" fillId="0" borderId="6" xfId="0" applyBorder="1" applyAlignment="1">
      <alignment vertical="top" wrapText="1"/>
    </xf>
    <xf numFmtId="0" fontId="7" fillId="0" borderId="4" xfId="2" applyBorder="1" applyAlignment="1">
      <alignment horizontal="left" vertical="top" wrapText="1"/>
    </xf>
    <xf numFmtId="0" fontId="7" fillId="12" borderId="3" xfId="2" applyFill="1" applyBorder="1" applyAlignment="1">
      <alignment horizontal="left" vertical="top" wrapText="1"/>
    </xf>
    <xf numFmtId="0" fontId="0" fillId="0" borderId="65" xfId="0" applyBorder="1"/>
    <xf numFmtId="0" fontId="0" fillId="12" borderId="3" xfId="0" applyFill="1" applyBorder="1" applyAlignment="1">
      <alignment vertical="top" wrapText="1"/>
    </xf>
    <xf numFmtId="0" fontId="0" fillId="12" borderId="65" xfId="0" applyFill="1" applyBorder="1" applyAlignment="1">
      <alignment wrapText="1"/>
    </xf>
    <xf numFmtId="0" fontId="7" fillId="0" borderId="2" xfId="2" applyBorder="1" applyAlignment="1">
      <alignment horizontal="left" vertical="top" wrapText="1"/>
    </xf>
    <xf numFmtId="0" fontId="0" fillId="0" borderId="2" xfId="0" applyBorder="1" applyAlignment="1">
      <alignment vertical="top" wrapText="1"/>
    </xf>
    <xf numFmtId="0" fontId="0" fillId="5" borderId="3" xfId="0" applyFill="1" applyBorder="1" applyAlignment="1">
      <alignment horizontal="left" vertical="top" wrapText="1"/>
    </xf>
    <xf numFmtId="0" fontId="0" fillId="5" borderId="3" xfId="1" applyFont="1" applyFill="1" applyBorder="1" applyAlignment="1">
      <alignment horizontal="left" vertical="top" wrapText="1"/>
    </xf>
    <xf numFmtId="0" fontId="0" fillId="5" borderId="30" xfId="1" applyFont="1" applyFill="1" applyBorder="1" applyAlignment="1">
      <alignment horizontal="left" vertical="top"/>
    </xf>
    <xf numFmtId="0" fontId="0" fillId="5" borderId="29" xfId="1" applyFont="1" applyFill="1" applyBorder="1" applyAlignment="1">
      <alignment horizontal="left" vertical="top"/>
    </xf>
    <xf numFmtId="0" fontId="0" fillId="5" borderId="5" xfId="1" applyFont="1" applyFill="1" applyBorder="1" applyAlignment="1">
      <alignment horizontal="left" vertical="top" wrapText="1"/>
    </xf>
    <xf numFmtId="0" fontId="7" fillId="5" borderId="3" xfId="2" applyFill="1" applyBorder="1" applyAlignment="1">
      <alignment horizontal="left" vertical="top" wrapText="1"/>
    </xf>
    <xf numFmtId="0" fontId="0" fillId="5" borderId="5" xfId="0" applyFill="1" applyBorder="1" applyAlignment="1">
      <alignment vertical="top"/>
    </xf>
    <xf numFmtId="0" fontId="0" fillId="5" borderId="5" xfId="0" applyFill="1" applyBorder="1" applyAlignment="1">
      <alignment vertical="top" wrapText="1"/>
    </xf>
    <xf numFmtId="0" fontId="0" fillId="5" borderId="3" xfId="0" applyFill="1" applyBorder="1" applyAlignment="1">
      <alignment vertical="top" wrapText="1"/>
    </xf>
    <xf numFmtId="0" fontId="0" fillId="12" borderId="1" xfId="1" applyFont="1" applyFill="1" applyBorder="1" applyAlignment="1">
      <alignment vertical="top" wrapText="1"/>
    </xf>
    <xf numFmtId="0" fontId="0" fillId="12" borderId="6" xfId="1" applyFont="1" applyFill="1" applyBorder="1" applyAlignment="1">
      <alignment horizontal="left" vertical="top" wrapText="1"/>
    </xf>
    <xf numFmtId="0" fontId="0" fillId="12" borderId="9" xfId="1" applyFont="1" applyFill="1" applyBorder="1" applyAlignment="1">
      <alignment horizontal="left" vertical="top" wrapText="1"/>
    </xf>
    <xf numFmtId="0" fontId="0" fillId="12" borderId="6" xfId="0" applyFill="1" applyBorder="1" applyAlignment="1">
      <alignment vertical="top" wrapText="1"/>
    </xf>
    <xf numFmtId="0" fontId="0" fillId="12" borderId="71" xfId="0" applyFill="1" applyBorder="1" applyAlignment="1">
      <alignment vertical="top" wrapText="1"/>
    </xf>
    <xf numFmtId="0" fontId="7" fillId="5" borderId="2" xfId="2" applyFill="1" applyBorder="1" applyAlignment="1">
      <alignment horizontal="left" vertical="top" wrapText="1"/>
    </xf>
    <xf numFmtId="0" fontId="6" fillId="12" borderId="1" xfId="1" applyFont="1" applyFill="1" applyBorder="1" applyAlignment="1">
      <alignment horizontal="left" vertical="top" wrapText="1"/>
    </xf>
    <xf numFmtId="0" fontId="5" fillId="12" borderId="34" xfId="0" applyFont="1" applyFill="1" applyBorder="1" applyAlignment="1">
      <alignment vertical="top" wrapText="1"/>
    </xf>
    <xf numFmtId="0" fontId="0" fillId="12" borderId="97" xfId="0" applyFill="1" applyBorder="1" applyAlignment="1">
      <alignment wrapText="1"/>
    </xf>
    <xf numFmtId="0" fontId="0" fillId="5" borderId="2" xfId="0" applyFill="1" applyBorder="1" applyAlignment="1">
      <alignment vertical="top" wrapText="1"/>
    </xf>
    <xf numFmtId="0" fontId="5" fillId="12" borderId="8" xfId="1" applyFont="1" applyFill="1" applyBorder="1" applyAlignment="1">
      <alignment horizontal="left" vertical="top" wrapText="1"/>
    </xf>
    <xf numFmtId="0" fontId="5" fillId="12" borderId="1" xfId="1" quotePrefix="1" applyFont="1" applyFill="1" applyBorder="1" applyAlignment="1">
      <alignment horizontal="left" vertical="top" wrapText="1"/>
    </xf>
    <xf numFmtId="0" fontId="0" fillId="12" borderId="1" xfId="1" quotePrefix="1" applyFont="1" applyFill="1" applyBorder="1" applyAlignment="1">
      <alignment horizontal="left" vertical="top" wrapText="1"/>
    </xf>
    <xf numFmtId="0" fontId="7" fillId="0" borderId="65" xfId="2" applyBorder="1" applyAlignment="1">
      <alignment horizontal="left" vertical="top" wrapText="1"/>
    </xf>
    <xf numFmtId="0" fontId="18" fillId="0" borderId="0" xfId="0" applyFont="1" applyAlignment="1">
      <alignment vertical="center"/>
    </xf>
    <xf numFmtId="0" fontId="2" fillId="2" borderId="1" xfId="0" applyFont="1" applyFill="1" applyBorder="1" applyAlignment="1">
      <alignment horizontal="center" vertical="top"/>
    </xf>
    <xf numFmtId="0" fontId="2" fillId="2" borderId="1" xfId="0" applyFont="1" applyFill="1" applyBorder="1" applyAlignment="1">
      <alignment vertical="top"/>
    </xf>
    <xf numFmtId="0" fontId="2" fillId="2" borderId="4" xfId="0" applyFont="1" applyFill="1" applyBorder="1" applyAlignment="1">
      <alignment vertical="top"/>
    </xf>
    <xf numFmtId="0" fontId="0" fillId="12" borderId="97" xfId="0" applyFill="1" applyBorder="1" applyAlignment="1">
      <alignment vertical="top" wrapText="1"/>
    </xf>
    <xf numFmtId="0" fontId="0" fillId="12" borderId="65" xfId="0" applyFill="1" applyBorder="1" applyAlignment="1">
      <alignment vertical="top"/>
    </xf>
    <xf numFmtId="0" fontId="11" fillId="0" borderId="9" xfId="0" applyFont="1" applyBorder="1" applyAlignment="1">
      <alignment vertical="top" wrapText="1"/>
    </xf>
    <xf numFmtId="0" fontId="0" fillId="12" borderId="0" xfId="0" applyFill="1" applyAlignment="1">
      <alignment vertical="top"/>
    </xf>
    <xf numFmtId="0" fontId="0" fillId="12" borderId="65" xfId="0" applyFill="1" applyBorder="1" applyAlignment="1">
      <alignment vertical="top" wrapText="1"/>
    </xf>
    <xf numFmtId="0" fontId="0" fillId="0" borderId="65" xfId="0" applyBorder="1" applyAlignment="1">
      <alignment vertical="top"/>
    </xf>
    <xf numFmtId="0" fontId="11" fillId="12" borderId="9" xfId="0" applyFont="1" applyFill="1" applyBorder="1" applyAlignment="1">
      <alignment vertical="top" wrapText="1"/>
    </xf>
    <xf numFmtId="49" fontId="2" fillId="2" borderId="1" xfId="0" applyNumberFormat="1" applyFont="1" applyFill="1" applyBorder="1" applyAlignment="1">
      <alignment vertical="top"/>
    </xf>
    <xf numFmtId="49" fontId="0" fillId="3" borderId="1" xfId="1" applyNumberFormat="1" applyFont="1" applyFill="1" applyBorder="1" applyAlignment="1">
      <alignment horizontal="left" vertical="top" wrapText="1"/>
    </xf>
    <xf numFmtId="49" fontId="0" fillId="4" borderId="1" xfId="1" applyNumberFormat="1" applyFont="1" applyFill="1" applyBorder="1" applyAlignment="1">
      <alignment horizontal="left" vertical="top" wrapText="1"/>
    </xf>
    <xf numFmtId="49" fontId="0" fillId="5" borderId="1" xfId="1" applyNumberFormat="1" applyFont="1" applyFill="1" applyBorder="1" applyAlignment="1">
      <alignment horizontal="left" vertical="top" wrapText="1"/>
    </xf>
    <xf numFmtId="49" fontId="0" fillId="12" borderId="1" xfId="1" applyNumberFormat="1" applyFont="1" applyFill="1" applyBorder="1" applyAlignment="1">
      <alignment horizontal="left" vertical="top" wrapText="1"/>
    </xf>
    <xf numFmtId="49" fontId="0" fillId="0" borderId="1" xfId="1" applyNumberFormat="1" applyFont="1" applyBorder="1" applyAlignment="1">
      <alignment horizontal="left" vertical="top" wrapText="1"/>
    </xf>
    <xf numFmtId="49" fontId="5" fillId="5" borderId="3" xfId="1" applyNumberFormat="1" applyFont="1" applyFill="1" applyBorder="1" applyAlignment="1">
      <alignment horizontal="left" vertical="top" wrapText="1"/>
    </xf>
    <xf numFmtId="49" fontId="5" fillId="5" borderId="1" xfId="0" applyNumberFormat="1" applyFont="1" applyFill="1" applyBorder="1" applyAlignment="1">
      <alignment horizontal="left" vertical="top" wrapText="1"/>
    </xf>
    <xf numFmtId="49" fontId="0" fillId="12" borderId="1" xfId="0" applyNumberFormat="1" applyFill="1" applyBorder="1" applyAlignment="1">
      <alignment horizontal="left" vertical="top" wrapText="1"/>
    </xf>
    <xf numFmtId="49" fontId="5" fillId="0" borderId="1" xfId="1" applyNumberFormat="1" applyFont="1" applyBorder="1" applyAlignment="1">
      <alignment horizontal="left" vertical="top" wrapText="1"/>
    </xf>
    <xf numFmtId="49" fontId="5" fillId="12" borderId="1" xfId="1" applyNumberFormat="1" applyFont="1" applyFill="1" applyBorder="1" applyAlignment="1">
      <alignment horizontal="left" vertical="top" wrapText="1"/>
    </xf>
    <xf numFmtId="49" fontId="5" fillId="5" borderId="1" xfId="1" applyNumberFormat="1" applyFont="1" applyFill="1" applyBorder="1" applyAlignment="1">
      <alignment horizontal="left" vertical="top" wrapText="1"/>
    </xf>
    <xf numFmtId="49" fontId="5" fillId="5" borderId="23" xfId="1" applyNumberFormat="1" applyFont="1" applyFill="1" applyBorder="1" applyAlignment="1">
      <alignment horizontal="left" vertical="top" wrapText="1"/>
    </xf>
    <xf numFmtId="49" fontId="5" fillId="5" borderId="2" xfId="1" applyNumberFormat="1" applyFont="1" applyFill="1" applyBorder="1" applyAlignment="1">
      <alignment horizontal="left" vertical="top" wrapText="1"/>
    </xf>
    <xf numFmtId="49" fontId="10" fillId="5" borderId="3" xfId="1" applyNumberFormat="1" applyFont="1" applyFill="1" applyBorder="1" applyAlignment="1">
      <alignment horizontal="left" vertical="top" wrapText="1"/>
    </xf>
    <xf numFmtId="49" fontId="10" fillId="5" borderId="1" xfId="1" applyNumberFormat="1" applyFont="1" applyFill="1" applyBorder="1" applyAlignment="1">
      <alignment horizontal="left" vertical="top" wrapText="1"/>
    </xf>
    <xf numFmtId="49" fontId="5" fillId="5" borderId="1" xfId="1" quotePrefix="1" applyNumberFormat="1" applyFont="1" applyFill="1" applyBorder="1" applyAlignment="1">
      <alignment horizontal="left" vertical="top" wrapText="1"/>
    </xf>
    <xf numFmtId="49" fontId="5" fillId="0" borderId="1" xfId="1" quotePrefix="1" applyNumberFormat="1" applyFont="1" applyBorder="1" applyAlignment="1">
      <alignment horizontal="left" vertical="top" wrapText="1"/>
    </xf>
    <xf numFmtId="49" fontId="10" fillId="0" borderId="1" xfId="1" applyNumberFormat="1" applyFont="1" applyBorder="1" applyAlignment="1">
      <alignment horizontal="left" vertical="top" wrapText="1"/>
    </xf>
    <xf numFmtId="49" fontId="0" fillId="5" borderId="1" xfId="1" applyNumberFormat="1" applyFont="1" applyFill="1" applyBorder="1" applyAlignment="1">
      <alignment horizontal="left" vertical="top"/>
    </xf>
    <xf numFmtId="49" fontId="0" fillId="0" borderId="1" xfId="1" applyNumberFormat="1" applyFont="1" applyBorder="1" applyAlignment="1">
      <alignment horizontal="left" vertical="top"/>
    </xf>
    <xf numFmtId="49" fontId="0" fillId="0" borderId="0" xfId="0" applyNumberFormat="1"/>
    <xf numFmtId="0" fontId="19" fillId="0" borderId="0" xfId="0" applyFont="1"/>
    <xf numFmtId="0" fontId="0" fillId="13" borderId="0" xfId="0" applyFill="1" applyAlignment="1">
      <alignment wrapText="1"/>
    </xf>
    <xf numFmtId="0" fontId="5" fillId="0" borderId="0" xfId="0" applyFont="1" applyAlignment="1">
      <alignment vertical="top" wrapText="1"/>
    </xf>
    <xf numFmtId="0" fontId="5" fillId="12" borderId="0" xfId="0" applyFont="1" applyFill="1" applyAlignment="1">
      <alignment vertical="top" wrapText="1"/>
    </xf>
    <xf numFmtId="0" fontId="5" fillId="5" borderId="0" xfId="0" applyFont="1" applyFill="1" applyAlignment="1">
      <alignment horizontal="left" vertical="top" wrapText="1"/>
    </xf>
    <xf numFmtId="0" fontId="5" fillId="0" borderId="0" xfId="0" applyFont="1" applyAlignment="1">
      <alignment horizontal="left" vertical="top" wrapText="1"/>
    </xf>
    <xf numFmtId="0" fontId="2" fillId="0" borderId="65" xfId="0" applyFont="1" applyBorder="1" applyAlignment="1">
      <alignment horizontal="center" vertical="top"/>
    </xf>
    <xf numFmtId="0" fontId="2" fillId="0" borderId="65" xfId="0" applyFont="1" applyBorder="1" applyAlignment="1">
      <alignment horizontal="center" vertical="top" wrapText="1"/>
    </xf>
    <xf numFmtId="0" fontId="0" fillId="0" borderId="65" xfId="1" applyFont="1" applyBorder="1" applyAlignment="1">
      <alignment horizontal="left" vertical="top" wrapText="1"/>
    </xf>
    <xf numFmtId="0" fontId="0" fillId="0" borderId="5" xfId="0" applyBorder="1" applyAlignment="1">
      <alignment vertical="top" wrapText="1"/>
    </xf>
    <xf numFmtId="0" fontId="0" fillId="0" borderId="8" xfId="0" applyBorder="1" applyAlignment="1">
      <alignment horizontal="left" vertical="top" wrapText="1"/>
    </xf>
    <xf numFmtId="0" fontId="11" fillId="0" borderId="65" xfId="0" applyFont="1" applyBorder="1" applyAlignment="1">
      <alignment wrapText="1"/>
    </xf>
    <xf numFmtId="0" fontId="0" fillId="0" borderId="65" xfId="0" applyBorder="1" applyAlignment="1">
      <alignment horizontal="left" vertical="top" wrapText="1"/>
    </xf>
    <xf numFmtId="0" fontId="7" fillId="0" borderId="65" xfId="2" applyFill="1" applyBorder="1" applyAlignment="1">
      <alignment vertical="top" wrapText="1"/>
    </xf>
    <xf numFmtId="0" fontId="0" fillId="0" borderId="72" xfId="0" applyBorder="1" applyAlignment="1">
      <alignment horizontal="left" vertical="top" wrapText="1"/>
    </xf>
    <xf numFmtId="0" fontId="7" fillId="0" borderId="65" xfId="2" applyFill="1" applyBorder="1" applyAlignment="1">
      <alignment horizontal="left" vertical="top" wrapText="1"/>
    </xf>
    <xf numFmtId="0" fontId="0" fillId="0" borderId="72" xfId="0" applyBorder="1" applyAlignment="1">
      <alignment vertical="top" wrapText="1"/>
    </xf>
    <xf numFmtId="0" fontId="0" fillId="0" borderId="98" xfId="0" applyBorder="1"/>
    <xf numFmtId="0" fontId="0" fillId="0" borderId="14" xfId="0" applyBorder="1" applyAlignment="1">
      <alignment vertical="top" wrapText="1"/>
    </xf>
    <xf numFmtId="0" fontId="2" fillId="0" borderId="65" xfId="0" applyFont="1" applyBorder="1" applyAlignment="1">
      <alignment vertical="center"/>
    </xf>
    <xf numFmtId="0" fontId="2" fillId="0" borderId="65" xfId="0" applyFont="1" applyBorder="1" applyAlignment="1">
      <alignment vertical="top"/>
    </xf>
    <xf numFmtId="0" fontId="0" fillId="0" borderId="65" xfId="1" applyFont="1" applyBorder="1" applyAlignment="1">
      <alignment horizontal="left" vertical="top"/>
    </xf>
    <xf numFmtId="0" fontId="5" fillId="0" borderId="65" xfId="1" applyFont="1" applyBorder="1" applyAlignment="1">
      <alignment horizontal="left" vertical="top" wrapText="1"/>
    </xf>
    <xf numFmtId="0" fontId="0" fillId="0" borderId="65" xfId="0" applyBorder="1" applyAlignment="1">
      <alignment vertical="top" wrapText="1"/>
    </xf>
    <xf numFmtId="0" fontId="6" fillId="0" borderId="65" xfId="1" applyFont="1" applyBorder="1" applyAlignment="1">
      <alignment horizontal="left" vertical="top" wrapText="1"/>
    </xf>
    <xf numFmtId="0" fontId="5" fillId="0" borderId="65" xfId="0" applyFont="1" applyBorder="1" applyAlignment="1">
      <alignment vertical="top" wrapText="1"/>
    </xf>
    <xf numFmtId="0" fontId="7" fillId="0" borderId="65" xfId="2" applyFill="1" applyBorder="1" applyAlignment="1">
      <alignment vertical="top"/>
    </xf>
    <xf numFmtId="0" fontId="0" fillId="0" borderId="65" xfId="1" applyFont="1" applyBorder="1" applyAlignment="1">
      <alignment vertical="top" wrapText="1"/>
    </xf>
    <xf numFmtId="0" fontId="0" fillId="0" borderId="65" xfId="1" quotePrefix="1" applyFont="1" applyBorder="1" applyAlignment="1">
      <alignment horizontal="left" vertical="top" wrapText="1"/>
    </xf>
    <xf numFmtId="0" fontId="8" fillId="0" borderId="65" xfId="0" applyFont="1" applyBorder="1" applyAlignment="1">
      <alignment horizontal="left" vertical="top" wrapText="1"/>
    </xf>
    <xf numFmtId="0" fontId="5" fillId="0" borderId="65" xfId="0" applyFont="1" applyBorder="1" applyAlignment="1">
      <alignment horizontal="left" vertical="top" wrapText="1"/>
    </xf>
    <xf numFmtId="0" fontId="7" fillId="0" borderId="65" xfId="2" applyFill="1" applyBorder="1" applyAlignment="1">
      <alignment horizontal="left" vertical="top"/>
    </xf>
    <xf numFmtId="0" fontId="14" fillId="0" borderId="65" xfId="0" applyFont="1" applyBorder="1" applyAlignment="1">
      <alignment horizontal="left" vertical="top" wrapText="1"/>
    </xf>
    <xf numFmtId="0" fontId="6" fillId="0" borderId="65" xfId="1" applyFont="1" applyBorder="1" applyAlignment="1">
      <alignment vertical="top" wrapText="1"/>
    </xf>
    <xf numFmtId="0" fontId="0" fillId="0" borderId="65" xfId="0" applyBorder="1" applyAlignment="1">
      <alignment horizontal="left" vertical="top"/>
    </xf>
    <xf numFmtId="0" fontId="0" fillId="0" borderId="65" xfId="0" quotePrefix="1" applyBorder="1" applyAlignment="1">
      <alignment horizontal="left" vertical="top" wrapText="1"/>
    </xf>
    <xf numFmtId="0" fontId="5" fillId="0" borderId="65" xfId="1" quotePrefix="1" applyFont="1" applyBorder="1" applyAlignment="1">
      <alignment horizontal="left" vertical="top" wrapText="1"/>
    </xf>
    <xf numFmtId="0" fontId="2" fillId="0" borderId="102" xfId="0" applyFont="1" applyBorder="1" applyAlignment="1">
      <alignment vertical="center"/>
    </xf>
    <xf numFmtId="0" fontId="2" fillId="0" borderId="103" xfId="0" applyFont="1" applyBorder="1" applyAlignment="1">
      <alignment horizontal="center" vertical="top"/>
    </xf>
    <xf numFmtId="0" fontId="0" fillId="0" borderId="102" xfId="0" applyBorder="1" applyAlignment="1">
      <alignment horizontal="left" vertical="top" wrapText="1"/>
    </xf>
    <xf numFmtId="0" fontId="0" fillId="0" borderId="103" xfId="1" applyFont="1" applyBorder="1" applyAlignment="1">
      <alignment horizontal="left" vertical="top" wrapText="1"/>
    </xf>
    <xf numFmtId="0" fontId="7" fillId="0" borderId="103" xfId="2" applyFill="1" applyBorder="1" applyAlignment="1">
      <alignment horizontal="left" vertical="top" wrapText="1"/>
    </xf>
    <xf numFmtId="0" fontId="0" fillId="0" borderId="103" xfId="0" applyBorder="1" applyAlignment="1">
      <alignment wrapText="1"/>
    </xf>
    <xf numFmtId="0" fontId="0" fillId="0" borderId="103" xfId="0" applyBorder="1" applyAlignment="1">
      <alignment horizontal="left" vertical="top" wrapText="1"/>
    </xf>
    <xf numFmtId="0" fontId="0" fillId="0" borderId="103" xfId="0" applyBorder="1" applyAlignment="1">
      <alignment vertical="top" wrapText="1"/>
    </xf>
    <xf numFmtId="0" fontId="0" fillId="0" borderId="104" xfId="0" applyBorder="1" applyAlignment="1">
      <alignment horizontal="left" vertical="top" wrapText="1"/>
    </xf>
    <xf numFmtId="0" fontId="0" fillId="0" borderId="105" xfId="0" applyBorder="1" applyAlignment="1">
      <alignment horizontal="left" vertical="center"/>
    </xf>
    <xf numFmtId="0" fontId="0" fillId="0" borderId="105" xfId="0" applyBorder="1" applyAlignment="1">
      <alignment horizontal="left" wrapText="1"/>
    </xf>
    <xf numFmtId="0" fontId="0" fillId="0" borderId="105" xfId="1" applyFont="1" applyBorder="1" applyAlignment="1">
      <alignment horizontal="left" vertical="top" wrapText="1"/>
    </xf>
    <xf numFmtId="0" fontId="5" fillId="0" borderId="105" xfId="1" applyFont="1" applyBorder="1" applyAlignment="1">
      <alignment horizontal="left" vertical="top" wrapText="1"/>
    </xf>
    <xf numFmtId="0" fontId="0" fillId="0" borderId="105" xfId="1" applyFont="1" applyBorder="1" applyAlignment="1">
      <alignment horizontal="left" vertical="top"/>
    </xf>
    <xf numFmtId="0" fontId="7" fillId="0" borderId="105" xfId="2" applyFill="1" applyBorder="1" applyAlignment="1">
      <alignment horizontal="left" vertical="top" wrapText="1"/>
    </xf>
    <xf numFmtId="0" fontId="0" fillId="0" borderId="105" xfId="0" applyBorder="1" applyAlignment="1">
      <alignment vertical="top" wrapText="1"/>
    </xf>
    <xf numFmtId="0" fontId="0" fillId="0" borderId="105" xfId="0" applyBorder="1" applyAlignment="1">
      <alignment vertical="top"/>
    </xf>
    <xf numFmtId="0" fontId="7" fillId="0" borderId="106" xfId="2" applyFill="1" applyBorder="1" applyAlignment="1">
      <alignment horizontal="left" vertical="top" wrapText="1"/>
    </xf>
    <xf numFmtId="0" fontId="5" fillId="14" borderId="3" xfId="1" applyFont="1" applyFill="1" applyBorder="1" applyAlignment="1">
      <alignment horizontal="left" vertical="top" wrapText="1"/>
    </xf>
    <xf numFmtId="0" fontId="5" fillId="15" borderId="3" xfId="1" applyFont="1" applyFill="1" applyBorder="1" applyAlignment="1">
      <alignment horizontal="left" vertical="top" wrapText="1"/>
    </xf>
    <xf numFmtId="0" fontId="5" fillId="16" borderId="3" xfId="1" applyFont="1" applyFill="1" applyBorder="1" applyAlignment="1">
      <alignment horizontal="left" vertical="top" wrapText="1"/>
    </xf>
    <xf numFmtId="0" fontId="0" fillId="14" borderId="1" xfId="1" applyFont="1" applyFill="1" applyBorder="1" applyAlignment="1">
      <alignment horizontal="left" vertical="top" wrapText="1"/>
    </xf>
    <xf numFmtId="0" fontId="5" fillId="14" borderId="1" xfId="1" applyFont="1" applyFill="1" applyBorder="1" applyAlignment="1">
      <alignment horizontal="left" vertical="top" wrapText="1"/>
    </xf>
    <xf numFmtId="0" fontId="0" fillId="14" borderId="1" xfId="1" applyFont="1" applyFill="1" applyBorder="1" applyAlignment="1">
      <alignment horizontal="left" vertical="top"/>
    </xf>
    <xf numFmtId="0" fontId="0" fillId="14" borderId="2" xfId="1" applyFont="1" applyFill="1" applyBorder="1" applyAlignment="1">
      <alignment horizontal="left" vertical="top" wrapText="1"/>
    </xf>
    <xf numFmtId="0" fontId="0" fillId="14" borderId="9" xfId="0" applyFill="1" applyBorder="1" applyAlignment="1">
      <alignment horizontal="left" vertical="top"/>
    </xf>
    <xf numFmtId="0" fontId="0" fillId="14" borderId="3" xfId="1" applyFont="1" applyFill="1" applyBorder="1" applyAlignment="1">
      <alignment horizontal="left" vertical="top" wrapText="1"/>
    </xf>
    <xf numFmtId="0" fontId="0" fillId="16" borderId="1" xfId="1" applyFont="1" applyFill="1" applyBorder="1" applyAlignment="1">
      <alignment horizontal="left" vertical="top" wrapText="1"/>
    </xf>
    <xf numFmtId="0" fontId="0" fillId="14" borderId="1" xfId="0" applyFill="1" applyBorder="1" applyAlignment="1">
      <alignment horizontal="left" vertical="top" wrapText="1"/>
    </xf>
    <xf numFmtId="0" fontId="0" fillId="14" borderId="0" xfId="0" applyFill="1" applyAlignment="1">
      <alignment horizontal="left"/>
    </xf>
    <xf numFmtId="0" fontId="0" fillId="16" borderId="0" xfId="0" applyFill="1" applyAlignment="1">
      <alignment horizontal="left"/>
    </xf>
    <xf numFmtId="0" fontId="0" fillId="15" borderId="0" xfId="0" applyFill="1" applyAlignment="1">
      <alignment horizontal="left"/>
    </xf>
    <xf numFmtId="0" fontId="0" fillId="17" borderId="0" xfId="1" applyFont="1" applyFill="1" applyAlignment="1">
      <alignment horizontal="left" vertical="top"/>
    </xf>
    <xf numFmtId="0" fontId="0" fillId="18" borderId="0" xfId="1" applyFont="1" applyFill="1" applyAlignment="1">
      <alignment horizontal="left" vertical="top"/>
    </xf>
    <xf numFmtId="0" fontId="0" fillId="19" borderId="0" xfId="1" applyFont="1" applyFill="1" applyAlignment="1">
      <alignment horizontal="left" vertical="top"/>
    </xf>
    <xf numFmtId="0" fontId="0" fillId="17" borderId="102" xfId="0" applyFill="1" applyBorder="1" applyAlignment="1">
      <alignment horizontal="left" vertical="top" wrapText="1"/>
    </xf>
    <xf numFmtId="0" fontId="0" fillId="17" borderId="65" xfId="1" applyFont="1" applyFill="1" applyBorder="1" applyAlignment="1">
      <alignment horizontal="left" vertical="top"/>
    </xf>
    <xf numFmtId="0" fontId="0" fillId="17" borderId="65" xfId="1" applyFont="1" applyFill="1" applyBorder="1" applyAlignment="1">
      <alignment horizontal="left" vertical="top" wrapText="1"/>
    </xf>
    <xf numFmtId="0" fontId="0" fillId="18" borderId="102" xfId="0" applyFill="1" applyBorder="1" applyAlignment="1">
      <alignment horizontal="left" vertical="top" wrapText="1"/>
    </xf>
    <xf numFmtId="0" fontId="0" fillId="18" borderId="65" xfId="1" applyFont="1" applyFill="1" applyBorder="1" applyAlignment="1">
      <alignment horizontal="left" vertical="top"/>
    </xf>
    <xf numFmtId="0" fontId="0" fillId="18" borderId="65" xfId="1" applyFont="1" applyFill="1" applyBorder="1" applyAlignment="1">
      <alignment horizontal="left" vertical="top" wrapText="1"/>
    </xf>
    <xf numFmtId="0" fontId="6" fillId="18" borderId="65" xfId="1" applyFont="1" applyFill="1" applyBorder="1" applyAlignment="1">
      <alignment vertical="top" wrapText="1"/>
    </xf>
    <xf numFmtId="0" fontId="5" fillId="18" borderId="65" xfId="1" applyFont="1" applyFill="1" applyBorder="1" applyAlignment="1">
      <alignment horizontal="left" vertical="top" wrapText="1"/>
    </xf>
    <xf numFmtId="0" fontId="0" fillId="18" borderId="65" xfId="0" applyFill="1" applyBorder="1" applyAlignment="1">
      <alignment horizontal="left" vertical="top" wrapText="1"/>
    </xf>
    <xf numFmtId="0" fontId="0" fillId="19" borderId="102" xfId="0" applyFill="1" applyBorder="1" applyAlignment="1">
      <alignment horizontal="left" vertical="top" wrapText="1"/>
    </xf>
    <xf numFmtId="0" fontId="0" fillId="19" borderId="65" xfId="1" applyFont="1" applyFill="1" applyBorder="1" applyAlignment="1">
      <alignment horizontal="left" vertical="top"/>
    </xf>
    <xf numFmtId="0" fontId="0" fillId="19" borderId="65" xfId="1" applyFont="1" applyFill="1" applyBorder="1" applyAlignment="1">
      <alignment horizontal="left" vertical="top" wrapText="1"/>
    </xf>
    <xf numFmtId="0" fontId="5" fillId="19" borderId="65" xfId="1" applyFont="1" applyFill="1" applyBorder="1" applyAlignment="1">
      <alignment horizontal="left" vertical="top" wrapText="1"/>
    </xf>
    <xf numFmtId="0" fontId="7" fillId="19" borderId="65" xfId="2" applyFill="1" applyBorder="1" applyAlignment="1">
      <alignment horizontal="left" vertical="top" wrapText="1"/>
    </xf>
    <xf numFmtId="0" fontId="0" fillId="19" borderId="65" xfId="0" applyFill="1" applyBorder="1" applyAlignment="1">
      <alignment vertical="top" wrapText="1"/>
    </xf>
    <xf numFmtId="0" fontId="0" fillId="19" borderId="65" xfId="0" applyFill="1" applyBorder="1" applyAlignment="1">
      <alignment horizontal="left" vertical="top" wrapText="1"/>
    </xf>
    <xf numFmtId="0" fontId="14" fillId="19" borderId="65" xfId="0" applyFont="1" applyFill="1" applyBorder="1" applyAlignment="1">
      <alignment horizontal="left" vertical="top" wrapText="1"/>
    </xf>
    <xf numFmtId="0" fontId="5" fillId="19" borderId="65" xfId="0" applyFont="1" applyFill="1" applyBorder="1" applyAlignment="1">
      <alignment horizontal="left" vertical="top" wrapText="1"/>
    </xf>
    <xf numFmtId="0" fontId="5" fillId="19" borderId="65" xfId="1" applyFont="1" applyFill="1" applyBorder="1" applyAlignment="1">
      <alignment vertical="top" wrapText="1"/>
    </xf>
    <xf numFmtId="0" fontId="0" fillId="19" borderId="65" xfId="0" applyFill="1" applyBorder="1" applyAlignment="1">
      <alignment horizontal="left" vertical="top"/>
    </xf>
    <xf numFmtId="0" fontId="7" fillId="19" borderId="65" xfId="2" applyFill="1" applyBorder="1" applyAlignment="1">
      <alignment vertical="top" wrapText="1"/>
    </xf>
    <xf numFmtId="0" fontId="10" fillId="19" borderId="65" xfId="1" applyFont="1" applyFill="1" applyBorder="1" applyAlignment="1">
      <alignment horizontal="left" vertical="top" wrapText="1"/>
    </xf>
    <xf numFmtId="0" fontId="5" fillId="19" borderId="65" xfId="0" applyFont="1" applyFill="1" applyBorder="1" applyAlignment="1">
      <alignment vertical="top" wrapText="1"/>
    </xf>
    <xf numFmtId="0" fontId="0" fillId="19" borderId="65" xfId="0" quotePrefix="1" applyFill="1" applyBorder="1" applyAlignment="1">
      <alignment horizontal="left" vertical="top" wrapText="1"/>
    </xf>
    <xf numFmtId="0" fontId="5" fillId="19" borderId="65" xfId="1" quotePrefix="1" applyFont="1" applyFill="1" applyBorder="1" applyAlignment="1">
      <alignment horizontal="left" vertical="top" wrapText="1"/>
    </xf>
    <xf numFmtId="0" fontId="0" fillId="19" borderId="65" xfId="1" quotePrefix="1" applyFont="1" applyFill="1" applyBorder="1" applyAlignment="1">
      <alignment horizontal="left" vertical="top" wrapText="1"/>
    </xf>
    <xf numFmtId="0" fontId="0" fillId="19" borderId="65" xfId="0" applyFill="1" applyBorder="1" applyAlignment="1">
      <alignment horizontal="left" vertical="center"/>
    </xf>
    <xf numFmtId="0" fontId="0" fillId="19" borderId="65" xfId="0" applyFill="1" applyBorder="1" applyAlignment="1">
      <alignment horizontal="left" wrapText="1"/>
    </xf>
    <xf numFmtId="0" fontId="0" fillId="0" borderId="9" xfId="0" applyBorder="1"/>
    <xf numFmtId="0" fontId="3" fillId="0" borderId="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87" xfId="0" applyFont="1" applyBorder="1" applyAlignment="1">
      <alignment horizontal="center" vertical="center" wrapText="1"/>
    </xf>
    <xf numFmtId="0" fontId="12" fillId="10" borderId="71" xfId="1" applyFont="1" applyFill="1" applyBorder="1" applyAlignment="1">
      <alignment horizontal="center" vertical="top"/>
    </xf>
    <xf numFmtId="0" fontId="12" fillId="10" borderId="92" xfId="1" applyFont="1" applyFill="1" applyBorder="1" applyAlignment="1">
      <alignment horizontal="center" vertical="top"/>
    </xf>
    <xf numFmtId="0" fontId="12" fillId="10" borderId="30" xfId="1" applyFont="1" applyFill="1" applyBorder="1" applyAlignment="1">
      <alignment horizontal="center" vertical="top" wrapText="1"/>
    </xf>
    <xf numFmtId="0" fontId="12" fillId="10" borderId="81" xfId="1" applyFont="1" applyFill="1" applyBorder="1" applyAlignment="1">
      <alignment horizontal="center" vertical="top" wrapText="1"/>
    </xf>
    <xf numFmtId="0" fontId="3" fillId="0" borderId="94" xfId="0" applyFont="1" applyBorder="1" applyAlignment="1">
      <alignment horizontal="center"/>
    </xf>
    <xf numFmtId="0" fontId="3" fillId="0" borderId="95" xfId="0" applyFont="1" applyBorder="1" applyAlignment="1">
      <alignment horizontal="center"/>
    </xf>
    <xf numFmtId="0" fontId="3" fillId="0" borderId="96" xfId="0" applyFont="1" applyBorder="1" applyAlignment="1">
      <alignment horizontal="center"/>
    </xf>
    <xf numFmtId="0" fontId="2" fillId="3" borderId="15" xfId="1" applyFont="1" applyFill="1" applyBorder="1" applyAlignment="1">
      <alignment horizontal="center" vertical="top"/>
    </xf>
    <xf numFmtId="0" fontId="2" fillId="3" borderId="0" xfId="1" applyFont="1" applyFill="1" applyAlignment="1">
      <alignment horizontal="center" vertical="top"/>
    </xf>
    <xf numFmtId="0" fontId="2" fillId="3" borderId="14" xfId="1" applyFont="1" applyFill="1" applyBorder="1" applyAlignment="1">
      <alignment horizontal="center" vertical="top"/>
    </xf>
    <xf numFmtId="0" fontId="3" fillId="3" borderId="30" xfId="1" applyFont="1" applyFill="1" applyBorder="1" applyAlignment="1">
      <alignment horizontal="center" vertical="top"/>
    </xf>
    <xf numFmtId="0" fontId="3" fillId="3" borderId="81" xfId="1" applyFont="1" applyFill="1" applyBorder="1" applyAlignment="1">
      <alignment horizontal="center" vertical="top"/>
    </xf>
    <xf numFmtId="0" fontId="3" fillId="3" borderId="5" xfId="1" applyFont="1" applyFill="1" applyBorder="1" applyAlignment="1">
      <alignment horizontal="center" vertical="top"/>
    </xf>
    <xf numFmtId="0" fontId="3" fillId="0" borderId="3" xfId="0" applyFont="1" applyBorder="1" applyAlignment="1">
      <alignment horizontal="center" vertical="center" wrapText="1"/>
    </xf>
    <xf numFmtId="0" fontId="12" fillId="10" borderId="15" xfId="1" applyFont="1" applyFill="1" applyBorder="1" applyAlignment="1">
      <alignment horizontal="center" vertical="top"/>
    </xf>
    <xf numFmtId="0" fontId="12" fillId="10" borderId="0" xfId="1" applyFont="1" applyFill="1" applyAlignment="1">
      <alignment horizontal="center" vertical="top"/>
    </xf>
    <xf numFmtId="0" fontId="12" fillId="10" borderId="14" xfId="1" applyFont="1" applyFill="1" applyBorder="1" applyAlignment="1">
      <alignment horizontal="center" vertical="top"/>
    </xf>
    <xf numFmtId="0" fontId="12" fillId="10" borderId="71" xfId="1" applyFont="1" applyFill="1" applyBorder="1" applyAlignment="1">
      <alignment horizontal="center" vertical="top" wrapText="1"/>
    </xf>
    <xf numFmtId="0" fontId="12" fillId="10" borderId="72" xfId="1" applyFont="1" applyFill="1" applyBorder="1" applyAlignment="1">
      <alignment horizontal="center" vertical="top" wrapText="1"/>
    </xf>
    <xf numFmtId="0" fontId="12" fillId="10" borderId="5" xfId="1" applyFont="1" applyFill="1" applyBorder="1" applyAlignment="1">
      <alignment horizontal="center" vertical="top" wrapText="1"/>
    </xf>
    <xf numFmtId="0" fontId="2" fillId="0" borderId="8" xfId="0" applyFont="1" applyBorder="1" applyAlignment="1">
      <alignment horizontal="center" vertical="top" wrapText="1"/>
    </xf>
    <xf numFmtId="0" fontId="2" fillId="0" borderId="8" xfId="0" applyFont="1" applyBorder="1" applyAlignment="1">
      <alignment horizontal="center" vertical="top"/>
    </xf>
    <xf numFmtId="0" fontId="5"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5"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2" fillId="0" borderId="99" xfId="0" applyFont="1" applyBorder="1" applyAlignment="1">
      <alignment horizontal="center" wrapText="1"/>
    </xf>
    <xf numFmtId="0" fontId="2" fillId="0" borderId="100" xfId="0" applyFont="1" applyBorder="1" applyAlignment="1">
      <alignment horizontal="center" wrapText="1"/>
    </xf>
    <xf numFmtId="0" fontId="2" fillId="0" borderId="100" xfId="0" applyFont="1" applyBorder="1" applyAlignment="1">
      <alignment horizontal="center" vertical="top" wrapText="1"/>
    </xf>
    <xf numFmtId="0" fontId="2" fillId="0" borderId="100" xfId="0" applyFont="1" applyBorder="1" applyAlignment="1">
      <alignment horizontal="center" vertical="top"/>
    </xf>
    <xf numFmtId="0" fontId="2" fillId="0" borderId="101" xfId="0" applyFont="1" applyBorder="1" applyAlignment="1">
      <alignment horizontal="center" vertical="top" wrapText="1"/>
    </xf>
    <xf numFmtId="0" fontId="8" fillId="0" borderId="0" xfId="2" applyFont="1" applyFill="1" applyAlignment="1">
      <alignment horizontal="left" vertical="center"/>
    </xf>
    <xf numFmtId="0" fontId="2" fillId="0" borderId="0" xfId="0" applyFont="1" applyAlignment="1">
      <alignment horizontal="left" vertical="center"/>
    </xf>
    <xf numFmtId="0" fontId="10" fillId="0" borderId="0" xfId="0" applyFont="1" applyAlignment="1">
      <alignment horizontal="left" vertical="center"/>
    </xf>
    <xf numFmtId="0" fontId="2" fillId="0" borderId="0" xfId="0" applyFont="1" applyAlignment="1">
      <alignment horizontal="left" vertical="center" wrapText="1"/>
    </xf>
    <xf numFmtId="0" fontId="3" fillId="0" borderId="18"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6" xfId="0" applyFont="1" applyBorder="1" applyAlignment="1">
      <alignment horizontal="center" vertical="center" wrapText="1"/>
    </xf>
    <xf numFmtId="0" fontId="4" fillId="0" borderId="70" xfId="0" applyFont="1" applyBorder="1" applyAlignment="1">
      <alignment horizontal="center"/>
    </xf>
    <xf numFmtId="0" fontId="4" fillId="0" borderId="17" xfId="0" applyFont="1" applyBorder="1" applyAlignment="1">
      <alignment horizontal="center"/>
    </xf>
    <xf numFmtId="0" fontId="4" fillId="0" borderId="86" xfId="0" applyFont="1" applyBorder="1" applyAlignment="1">
      <alignment horizontal="center"/>
    </xf>
    <xf numFmtId="0" fontId="17" fillId="10" borderId="73" xfId="1" applyFont="1" applyFill="1" applyBorder="1" applyAlignment="1">
      <alignment horizontal="center" vertical="top"/>
    </xf>
    <xf numFmtId="0" fontId="17" fillId="10" borderId="74" xfId="1" applyFont="1" applyFill="1" applyBorder="1" applyAlignment="1">
      <alignment horizontal="center" vertical="top"/>
    </xf>
    <xf numFmtId="0" fontId="17" fillId="10" borderId="75" xfId="1" applyFont="1" applyFill="1" applyBorder="1" applyAlignment="1">
      <alignment horizontal="center" vertical="top"/>
    </xf>
    <xf numFmtId="0" fontId="17" fillId="10" borderId="15" xfId="1" applyFont="1" applyFill="1" applyBorder="1" applyAlignment="1">
      <alignment horizontal="center" vertical="top"/>
    </xf>
    <xf numFmtId="0" fontId="17" fillId="10" borderId="0" xfId="1" applyFont="1" applyFill="1" applyAlignment="1">
      <alignment horizontal="center" vertical="top"/>
    </xf>
    <xf numFmtId="0" fontId="17" fillId="10" borderId="14" xfId="1" applyFont="1" applyFill="1" applyBorder="1" applyAlignment="1">
      <alignment horizontal="center" vertical="top"/>
    </xf>
    <xf numFmtId="0" fontId="17" fillId="10" borderId="15" xfId="1" applyFont="1" applyFill="1" applyBorder="1" applyAlignment="1">
      <alignment horizontal="center" vertical="top" wrapText="1"/>
    </xf>
    <xf numFmtId="0" fontId="17" fillId="10" borderId="0" xfId="1" applyFont="1" applyFill="1" applyAlignment="1">
      <alignment horizontal="center" vertical="top" wrapText="1"/>
    </xf>
    <xf numFmtId="0" fontId="17" fillId="3" borderId="15" xfId="1" applyFont="1" applyFill="1" applyBorder="1" applyAlignment="1">
      <alignment horizontal="center" vertical="top"/>
    </xf>
    <xf numFmtId="0" fontId="17" fillId="3" borderId="0" xfId="1" applyFont="1" applyFill="1" applyAlignment="1">
      <alignment horizontal="center" vertical="top"/>
    </xf>
    <xf numFmtId="0" fontId="17" fillId="3" borderId="14" xfId="1" applyFont="1" applyFill="1" applyBorder="1" applyAlignment="1">
      <alignment horizontal="center" vertical="top"/>
    </xf>
    <xf numFmtId="0" fontId="4" fillId="0" borderId="83" xfId="0" applyFont="1" applyBorder="1" applyAlignment="1">
      <alignment horizontal="center" vertical="center"/>
    </xf>
    <xf numFmtId="0" fontId="4" fillId="0" borderId="85" xfId="0" applyFont="1" applyBorder="1" applyAlignment="1">
      <alignment horizontal="center" vertical="center"/>
    </xf>
    <xf numFmtId="0" fontId="17" fillId="3" borderId="73" xfId="1" applyFont="1" applyFill="1" applyBorder="1" applyAlignment="1">
      <alignment horizontal="center" vertical="top"/>
    </xf>
    <xf numFmtId="0" fontId="17" fillId="3" borderId="74" xfId="1" applyFont="1" applyFill="1" applyBorder="1" applyAlignment="1">
      <alignment horizontal="center" vertical="top"/>
    </xf>
    <xf numFmtId="0" fontId="17" fillId="3" borderId="75" xfId="1" applyFont="1" applyFill="1" applyBorder="1" applyAlignment="1">
      <alignment horizontal="center" vertical="top"/>
    </xf>
    <xf numFmtId="0" fontId="17" fillId="10" borderId="73" xfId="1" applyFont="1" applyFill="1" applyBorder="1" applyAlignment="1">
      <alignment horizontal="center" vertical="top" wrapText="1"/>
    </xf>
    <xf numFmtId="0" fontId="17" fillId="10" borderId="74" xfId="1" applyFont="1" applyFill="1" applyBorder="1" applyAlignment="1">
      <alignment horizontal="center" vertical="top" wrapText="1"/>
    </xf>
    <xf numFmtId="0" fontId="8" fillId="0" borderId="0" xfId="2" applyFont="1" applyAlignment="1">
      <alignment horizontal="left" vertical="center"/>
    </xf>
    <xf numFmtId="0" fontId="2" fillId="2" borderId="1" xfId="0" applyFont="1" applyFill="1" applyBorder="1" applyAlignment="1">
      <alignment horizontal="center" wrapText="1"/>
    </xf>
    <xf numFmtId="0" fontId="2" fillId="2" borderId="1" xfId="0" applyFont="1" applyFill="1" applyBorder="1" applyAlignment="1">
      <alignment horizontal="center" vertical="top" wrapText="1"/>
    </xf>
    <xf numFmtId="0" fontId="2" fillId="2" borderId="1" xfId="0" applyFont="1" applyFill="1" applyBorder="1" applyAlignment="1">
      <alignment horizontal="center" vertical="top"/>
    </xf>
    <xf numFmtId="0" fontId="2" fillId="2" borderId="6" xfId="0" applyFont="1" applyFill="1" applyBorder="1" applyAlignment="1">
      <alignment horizontal="center" vertical="top"/>
    </xf>
    <xf numFmtId="0" fontId="2" fillId="2" borderId="8" xfId="0" applyFont="1" applyFill="1" applyBorder="1" applyAlignment="1">
      <alignment horizontal="center" vertical="top"/>
    </xf>
    <xf numFmtId="0" fontId="2" fillId="2" borderId="6" xfId="0" applyFont="1" applyFill="1" applyBorder="1" applyAlignment="1">
      <alignment horizontal="center" vertical="top" wrapText="1"/>
    </xf>
    <xf numFmtId="0" fontId="2" fillId="2" borderId="7" xfId="0" applyFont="1" applyFill="1" applyBorder="1" applyAlignment="1">
      <alignment horizontal="center" vertical="top" wrapText="1"/>
    </xf>
    <xf numFmtId="0" fontId="2" fillId="2" borderId="8" xfId="0" applyFont="1" applyFill="1" applyBorder="1" applyAlignment="1">
      <alignment horizontal="center" vertical="top" wrapText="1"/>
    </xf>
    <xf numFmtId="0" fontId="2" fillId="2" borderId="7" xfId="0" applyFont="1" applyFill="1" applyBorder="1" applyAlignment="1">
      <alignment horizontal="center" vertical="top"/>
    </xf>
    <xf numFmtId="0" fontId="2" fillId="2" borderId="36" xfId="0" applyFont="1" applyFill="1" applyBorder="1" applyAlignment="1">
      <alignment horizontal="left"/>
    </xf>
    <xf numFmtId="0" fontId="2" fillId="2" borderId="63" xfId="0" applyFont="1" applyFill="1" applyBorder="1" applyAlignment="1">
      <alignment horizontal="left"/>
    </xf>
    <xf numFmtId="0" fontId="0" fillId="0" borderId="25" xfId="0" applyBorder="1" applyAlignment="1">
      <alignment horizontal="left"/>
    </xf>
    <xf numFmtId="0" fontId="0" fillId="0" borderId="63" xfId="0" applyBorder="1" applyAlignment="1">
      <alignment horizontal="left"/>
    </xf>
    <xf numFmtId="0" fontId="2" fillId="2" borderId="62" xfId="0" applyFont="1" applyFill="1" applyBorder="1" applyAlignment="1">
      <alignment horizontal="left" vertical="top"/>
    </xf>
    <xf numFmtId="0" fontId="2" fillId="2" borderId="0" xfId="0" applyFont="1" applyFill="1" applyAlignment="1">
      <alignment horizontal="left" vertical="top"/>
    </xf>
    <xf numFmtId="0" fontId="2" fillId="2" borderId="63" xfId="0" applyFont="1" applyFill="1" applyBorder="1" applyAlignment="1">
      <alignment horizontal="left" vertical="top"/>
    </xf>
    <xf numFmtId="0" fontId="12" fillId="0" borderId="9" xfId="0" applyFont="1" applyBorder="1" applyAlignment="1">
      <alignment horizontal="left"/>
    </xf>
    <xf numFmtId="0" fontId="2" fillId="0" borderId="38" xfId="0" applyFont="1" applyBorder="1" applyAlignment="1">
      <alignment vertical="center"/>
    </xf>
    <xf numFmtId="0" fontId="2" fillId="0" borderId="39" xfId="0" applyFont="1" applyBorder="1" applyAlignment="1">
      <alignment vertical="center"/>
    </xf>
    <xf numFmtId="0" fontId="2" fillId="0" borderId="40" xfId="0" applyFont="1" applyBorder="1" applyAlignment="1">
      <alignment vertical="center"/>
    </xf>
    <xf numFmtId="0" fontId="10" fillId="0" borderId="37" xfId="0" applyFont="1" applyBorder="1" applyAlignment="1">
      <alignment vertical="center"/>
    </xf>
    <xf numFmtId="0" fontId="10" fillId="0" borderId="0" xfId="0" applyFont="1" applyAlignment="1">
      <alignment vertical="center"/>
    </xf>
    <xf numFmtId="0" fontId="10" fillId="0" borderId="41" xfId="0" applyFont="1" applyBorder="1" applyAlignment="1">
      <alignment vertical="center"/>
    </xf>
    <xf numFmtId="0" fontId="5" fillId="0" borderId="37" xfId="0" applyFont="1" applyBorder="1" applyAlignment="1">
      <alignment vertical="center"/>
    </xf>
    <xf numFmtId="0" fontId="5" fillId="0" borderId="0" xfId="0" applyFont="1" applyAlignment="1">
      <alignment vertical="center"/>
    </xf>
    <xf numFmtId="0" fontId="5" fillId="0" borderId="41" xfId="0" applyFont="1" applyBorder="1" applyAlignment="1">
      <alignment vertical="center"/>
    </xf>
    <xf numFmtId="0" fontId="5" fillId="0" borderId="42" xfId="0" applyFont="1" applyBorder="1" applyAlignment="1">
      <alignment vertical="center"/>
    </xf>
    <xf numFmtId="0" fontId="5" fillId="0" borderId="24" xfId="0" applyFont="1" applyBorder="1" applyAlignment="1">
      <alignment vertical="center"/>
    </xf>
    <xf numFmtId="0" fontId="5" fillId="0" borderId="43" xfId="0" applyFont="1" applyBorder="1" applyAlignment="1">
      <alignment vertical="center"/>
    </xf>
    <xf numFmtId="0" fontId="10" fillId="0" borderId="47" xfId="0" applyFont="1" applyBorder="1" applyAlignment="1">
      <alignment horizontal="left" vertical="center"/>
    </xf>
    <xf numFmtId="0" fontId="5" fillId="0" borderId="9" xfId="0" applyFont="1" applyBorder="1" applyAlignment="1">
      <alignment horizontal="left" vertical="center"/>
    </xf>
    <xf numFmtId="0" fontId="5" fillId="0" borderId="48" xfId="0" applyFont="1" applyBorder="1" applyAlignment="1">
      <alignment horizontal="left" vertical="center"/>
    </xf>
    <xf numFmtId="0" fontId="5" fillId="0" borderId="47" xfId="0" applyFont="1" applyBorder="1" applyAlignment="1">
      <alignment horizontal="left" vertical="center"/>
    </xf>
    <xf numFmtId="0" fontId="5" fillId="0" borderId="49" xfId="0" applyFont="1" applyBorder="1" applyAlignment="1">
      <alignment horizontal="left" vertical="center"/>
    </xf>
    <xf numFmtId="0" fontId="5" fillId="0" borderId="50" xfId="0" applyFont="1" applyBorder="1" applyAlignment="1">
      <alignment horizontal="left" vertical="center"/>
    </xf>
    <xf numFmtId="0" fontId="5" fillId="0" borderId="51" xfId="0" applyFont="1" applyBorder="1" applyAlignment="1">
      <alignment horizontal="left" vertical="center"/>
    </xf>
    <xf numFmtId="165" fontId="2" fillId="2" borderId="65" xfId="0" applyNumberFormat="1" applyFont="1" applyFill="1" applyBorder="1" applyAlignment="1">
      <alignment horizontal="center" vertical="center"/>
    </xf>
    <xf numFmtId="0" fontId="10" fillId="2" borderId="33" xfId="0" applyFont="1" applyFill="1" applyBorder="1" applyAlignment="1">
      <alignment horizontal="center" vertical="center"/>
    </xf>
    <xf numFmtId="0" fontId="2" fillId="2" borderId="35" xfId="0" applyFont="1" applyFill="1" applyBorder="1" applyAlignment="1">
      <alignment horizontal="center" vertical="center"/>
    </xf>
    <xf numFmtId="0" fontId="2" fillId="2" borderId="54" xfId="0" applyFont="1" applyFill="1" applyBorder="1" applyAlignment="1">
      <alignment horizontal="center" vertical="center"/>
    </xf>
    <xf numFmtId="0" fontId="2" fillId="2" borderId="61" xfId="0" applyFont="1" applyFill="1" applyBorder="1" applyAlignment="1">
      <alignment horizontal="center"/>
    </xf>
    <xf numFmtId="0" fontId="2" fillId="2" borderId="66" xfId="0" applyFont="1" applyFill="1" applyBorder="1" applyAlignment="1">
      <alignment horizontal="center"/>
    </xf>
    <xf numFmtId="0" fontId="2" fillId="2" borderId="67" xfId="0" applyFont="1" applyFill="1" applyBorder="1" applyAlignment="1">
      <alignment horizontal="center"/>
    </xf>
    <xf numFmtId="0" fontId="2" fillId="2" borderId="35" xfId="0" applyFont="1" applyFill="1" applyBorder="1" applyAlignment="1">
      <alignment horizontal="center" wrapText="1"/>
    </xf>
    <xf numFmtId="0" fontId="2" fillId="2" borderId="55" xfId="0" applyFont="1" applyFill="1" applyBorder="1" applyAlignment="1">
      <alignment horizontal="center" wrapText="1"/>
    </xf>
    <xf numFmtId="0" fontId="2" fillId="2" borderId="9" xfId="0" applyFont="1" applyFill="1" applyBorder="1" applyAlignment="1">
      <alignment horizontal="center"/>
    </xf>
    <xf numFmtId="0" fontId="2" fillId="2" borderId="48" xfId="0" applyFont="1" applyFill="1" applyBorder="1" applyAlignment="1">
      <alignment horizontal="center"/>
    </xf>
    <xf numFmtId="0" fontId="2" fillId="0" borderId="44" xfId="0" applyFont="1" applyBorder="1" applyAlignment="1">
      <alignment horizontal="left" vertical="center"/>
    </xf>
    <xf numFmtId="0" fontId="2" fillId="0" borderId="45" xfId="0" applyFont="1" applyBorder="1" applyAlignment="1">
      <alignment horizontal="left" vertical="center"/>
    </xf>
    <xf numFmtId="0" fontId="2" fillId="0" borderId="46" xfId="0" applyFont="1" applyBorder="1" applyAlignment="1">
      <alignment horizontal="left" vertical="center"/>
    </xf>
    <xf numFmtId="0" fontId="2" fillId="0" borderId="47" xfId="0" applyFont="1" applyBorder="1" applyAlignment="1">
      <alignment horizontal="left" vertical="center"/>
    </xf>
    <xf numFmtId="0" fontId="2" fillId="0" borderId="9" xfId="0" applyFont="1" applyBorder="1" applyAlignment="1">
      <alignment horizontal="left" vertical="center"/>
    </xf>
    <xf numFmtId="0" fontId="2" fillId="0" borderId="48" xfId="0" applyFont="1" applyBorder="1" applyAlignment="1">
      <alignment horizontal="left" vertical="center"/>
    </xf>
    <xf numFmtId="0" fontId="10" fillId="0" borderId="9" xfId="0" applyFont="1" applyBorder="1" applyAlignment="1">
      <alignment horizontal="left" vertical="center"/>
    </xf>
    <xf numFmtId="0" fontId="10" fillId="0" borderId="48" xfId="0" applyFont="1" applyBorder="1" applyAlignment="1">
      <alignment horizontal="left" vertical="center"/>
    </xf>
    <xf numFmtId="0" fontId="8" fillId="0" borderId="47" xfId="2" applyFont="1" applyBorder="1" applyAlignment="1">
      <alignment horizontal="left" vertical="center"/>
    </xf>
    <xf numFmtId="0" fontId="8" fillId="0" borderId="9" xfId="2" applyFont="1" applyBorder="1" applyAlignment="1">
      <alignment horizontal="left" vertical="center"/>
    </xf>
    <xf numFmtId="0" fontId="8" fillId="0" borderId="48" xfId="2" applyFont="1" applyBorder="1" applyAlignment="1">
      <alignment horizontal="left" vertical="center"/>
    </xf>
    <xf numFmtId="0" fontId="2" fillId="0" borderId="9" xfId="0" applyFont="1" applyBorder="1"/>
    <xf numFmtId="0" fontId="2" fillId="0" borderId="9" xfId="0" applyFont="1" applyBorder="1" applyAlignment="1">
      <alignment wrapText="1"/>
    </xf>
    <xf numFmtId="0" fontId="0" fillId="17" borderId="9" xfId="1" applyFont="1" applyFill="1" applyBorder="1" applyAlignment="1">
      <alignment horizontal="left" vertical="top"/>
    </xf>
    <xf numFmtId="0" fontId="0" fillId="17" borderId="9" xfId="0" applyFill="1" applyBorder="1" applyAlignment="1">
      <alignment horizontal="left" vertical="top" wrapText="1"/>
    </xf>
    <xf numFmtId="0" fontId="0" fillId="0" borderId="9" xfId="0" applyBorder="1" applyAlignment="1">
      <alignment wrapText="1"/>
    </xf>
    <xf numFmtId="0" fontId="0" fillId="17" borderId="9" xfId="1" applyFont="1" applyFill="1" applyBorder="1" applyAlignment="1">
      <alignment horizontal="left" vertical="top" wrapText="1"/>
    </xf>
    <xf numFmtId="0" fontId="0" fillId="18" borderId="9" xfId="1" applyFont="1" applyFill="1" applyBorder="1" applyAlignment="1">
      <alignment horizontal="left" vertical="top"/>
    </xf>
    <xf numFmtId="0" fontId="0" fillId="18" borderId="9" xfId="0" applyFill="1" applyBorder="1" applyAlignment="1">
      <alignment horizontal="left" vertical="top" wrapText="1"/>
    </xf>
    <xf numFmtId="0" fontId="0" fillId="18" borderId="9" xfId="1" applyFont="1" applyFill="1" applyBorder="1" applyAlignment="1">
      <alignment horizontal="left" vertical="top" wrapText="1"/>
    </xf>
    <xf numFmtId="0" fontId="5" fillId="19" borderId="9" xfId="1" applyFont="1" applyFill="1" applyBorder="1" applyAlignment="1">
      <alignment horizontal="left" vertical="top" wrapText="1"/>
    </xf>
    <xf numFmtId="0" fontId="0" fillId="19" borderId="9" xfId="0" applyFill="1" applyBorder="1" applyAlignment="1">
      <alignment horizontal="left" vertical="top" wrapText="1"/>
    </xf>
    <xf numFmtId="0" fontId="0" fillId="19" borderId="9" xfId="1" applyFont="1" applyFill="1" applyBorder="1" applyAlignment="1">
      <alignment horizontal="left" vertical="top"/>
    </xf>
    <xf numFmtId="0" fontId="0" fillId="19" borderId="9" xfId="1" applyFont="1" applyFill="1" applyBorder="1" applyAlignment="1">
      <alignment horizontal="left" vertical="top" wrapText="1"/>
    </xf>
    <xf numFmtId="0" fontId="5" fillId="0" borderId="9" xfId="1" applyFont="1" applyBorder="1" applyAlignment="1">
      <alignment horizontal="left" vertical="top" wrapText="1"/>
    </xf>
    <xf numFmtId="0" fontId="10" fillId="19" borderId="9" xfId="1" applyFont="1" applyFill="1" applyBorder="1" applyAlignment="1">
      <alignment horizontal="left" vertical="top" wrapText="1"/>
    </xf>
    <xf numFmtId="0" fontId="5" fillId="19" borderId="9" xfId="1" quotePrefix="1" applyFont="1" applyFill="1" applyBorder="1" applyAlignment="1">
      <alignment horizontal="left" vertical="top" wrapText="1"/>
    </xf>
    <xf numFmtId="0" fontId="5" fillId="0" borderId="9" xfId="1" quotePrefix="1" applyFont="1" applyBorder="1" applyAlignment="1">
      <alignment horizontal="left" vertical="top" wrapText="1"/>
    </xf>
    <xf numFmtId="0" fontId="5" fillId="19" borderId="9" xfId="0" applyFont="1" applyFill="1" applyBorder="1" applyAlignment="1">
      <alignment horizontal="left" vertical="top" wrapText="1"/>
    </xf>
    <xf numFmtId="0" fontId="0" fillId="19" borderId="9" xfId="0" applyFill="1" applyBorder="1" applyAlignment="1">
      <alignment horizontal="left" vertical="top"/>
    </xf>
    <xf numFmtId="0" fontId="0" fillId="19" borderId="9" xfId="0" applyFill="1" applyBorder="1" applyAlignment="1">
      <alignment horizontal="left" vertical="center"/>
    </xf>
    <xf numFmtId="0" fontId="0" fillId="0" borderId="9" xfId="0" applyBorder="1" applyAlignment="1">
      <alignment horizontal="left" vertical="center"/>
    </xf>
    <xf numFmtId="0" fontId="0" fillId="19" borderId="9" xfId="0" applyFill="1" applyBorder="1" applyAlignment="1">
      <alignment horizontal="left" vertical="center" wrapText="1"/>
    </xf>
    <xf numFmtId="0" fontId="0" fillId="0" borderId="107" xfId="0" applyBorder="1" applyAlignment="1">
      <alignment horizontal="left" vertical="center" wrapText="1"/>
    </xf>
    <xf numFmtId="0" fontId="5" fillId="0" borderId="9" xfId="0" applyFont="1" applyBorder="1" applyAlignment="1"/>
    <xf numFmtId="0" fontId="0" fillId="0" borderId="9" xfId="0" applyBorder="1" applyAlignment="1"/>
    <xf numFmtId="0" fontId="5" fillId="8" borderId="9" xfId="0" applyFont="1" applyFill="1" applyBorder="1" applyAlignment="1"/>
    <xf numFmtId="0" fontId="0" fillId="8" borderId="9" xfId="0" applyFill="1" applyBorder="1" applyAlignment="1"/>
    <xf numFmtId="0" fontId="5" fillId="0" borderId="37" xfId="0" applyFont="1" applyBorder="1" applyAlignment="1"/>
    <xf numFmtId="0" fontId="5" fillId="0" borderId="0" xfId="0" applyFont="1" applyAlignment="1"/>
    <xf numFmtId="0" fontId="5" fillId="0" borderId="41" xfId="0" applyFont="1" applyBorder="1" applyAlignment="1"/>
  </cellXfs>
  <cellStyles count="4">
    <cellStyle name="Hyperlink" xfId="2" builtinId="8"/>
    <cellStyle name="Normal" xfId="0" builtinId="0"/>
    <cellStyle name="Normal 2" xfId="1" xr:uid="{65BB4650-5ABD-46F4-B2F4-F668AADA1BB1}"/>
    <cellStyle name="Percent" xfId="3" builtinId="5"/>
  </cellStyles>
  <dxfs count="1">
    <dxf>
      <font>
        <color rgb="FF9C0006"/>
      </font>
      <fill>
        <patternFill>
          <bgColor rgb="FFFFC7CE"/>
        </patternFill>
      </fill>
    </dxf>
  </dxfs>
  <tableStyles count="0" defaultTableStyle="TableStyleMedium2" defaultPivotStyle="PivotStyleLight16"/>
  <colors>
    <mruColors>
      <color rgb="FFEBEEF1"/>
      <color rgb="FFCBD3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Brian Jensen" id="{965B7E8D-ACF8-CB40-AC16-BBA9BC3C7FA0}" userId="1cbec91c7cf34f5e" providerId="Windows Live"/>
  <person displayName="Alex Pedro BONHOMME" id="{E8138FA0-0E04-4F22-90D6-0509B80D4718}" userId="S::apbonhomme@uhelp.net::dfa6d44c-3b60-4ee6-9e28-08f3d67184d3" providerId="AD"/>
  <person displayName="Brian Jensen" id="{E905DCE4-5CD5-4CD5-83E2-FED6E197B5BF}" userId="S::brian.jensen@hanwash.org::7eaf84ac-8117-4029-86ef-15f807ee2774" providerId="AD"/>
  <person displayName="Alex Bonhomme" id="{C77C3A09-010B-41A9-8F17-A321D7218A0A}" userId="S::alex.bonhomme@hanwash.org::a713af9e-544c-48b3-87a5-ac7c47c2c71e" providerId="AD"/>
  <person displayName="Guest User" id="{35F75D4D-09BF-4C2E-AAC0-C7CC36AC9B18}" userId="S::urn:spo:anon#21316b7d58da1346870b69386c12b3c7426cbeb487d5aa7f00d94ff8a0ecb8f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4" dT="2025-06-20T17:41:14.99" personId="{C77C3A09-010B-41A9-8F17-A321D7218A0A}" id="{C08DB958-1F6C-489F-A159-FD95BF0C9CF7}">
    <text>Ask the RC President to share this data with us.</text>
  </threadedComment>
  <threadedComment ref="A5" dT="2025-06-20T17:41:23.78" personId="{C77C3A09-010B-41A9-8F17-A321D7218A0A}" id="{F6EB6D2D-27E4-4058-8CAA-78769F5AAB8A}">
    <text>Ask the RC President to share this data with us.</text>
  </threadedComment>
  <threadedComment ref="A6" dT="2025-06-20T17:41:32.51" personId="{C77C3A09-010B-41A9-8F17-A321D7218A0A}" id="{E8CA47C8-5710-4A9D-AE20-2B41F3E83A18}">
    <text>Ask the RC President to share this data with us.</text>
  </threadedComment>
  <threadedComment ref="A7" dT="2025-06-20T17:50:39.37" personId="{C77C3A09-010B-41A9-8F17-A321D7218A0A}" id="{C6552EC6-4663-43FF-BA6C-F736B350FB13}">
    <text>Get regular (quarterly) reports from the Mayors on progress toward the implementation of the CAP.</text>
  </threadedComment>
  <threadedComment ref="A9" dT="2025-06-20T17:51:25.10" personId="{C77C3A09-010B-41A9-8F17-A321D7218A0A}" id="{69B3644C-4410-4DBB-B6BB-1C9D2306B9AD}">
    <text>Get regular (quarterly) reports from the Mayors on progress towards this indicator.</text>
  </threadedComment>
  <threadedComment ref="A9" dT="2025-06-20T17:52:08.20" personId="{C77C3A09-010B-41A9-8F17-A321D7218A0A}" id="{C253B8B9-9A0D-46A7-BF48-3B7B53172F30}" parentId="{69B3644C-4410-4DBB-B6BB-1C9D2306B9AD}">
    <text>Alex will create a form and train the Mayors on using it.</text>
  </threadedComment>
  <threadedComment ref="F13" dT="2024-03-06T05:04:49.53" personId="{C77C3A09-010B-41A9-8F17-A321D7218A0A}" id="{3D98BB16-B87C-4A28-B190-6853D83C9408}">
    <text xml:space="preserve">I believe it's important to measure this indicator to foster Service Providers' responsiveness. </text>
  </threadedComment>
  <threadedComment ref="F14" dT="2024-03-06T05:04:49.53" personId="{C77C3A09-010B-41A9-8F17-A321D7218A0A}" id="{0F0B2490-6D92-4075-BD70-94B183B0D4F7}">
    <text xml:space="preserve">I believe it's important to measure this indicator to foster Service Providers' responsiveness. </text>
  </threadedComment>
</ThreadedComments>
</file>

<file path=xl/threadedComments/threadedComment2.xml><?xml version="1.0" encoding="utf-8"?>
<ThreadedComments xmlns="http://schemas.microsoft.com/office/spreadsheetml/2018/threadedcomments" xmlns:x="http://schemas.openxmlformats.org/spreadsheetml/2006/main">
  <threadedComment ref="D11" dT="2023-08-14T17:57:26.32" personId="{E905DCE4-5CD5-4CD5-83E2-FED6E197B5BF}" id="{F529A6AE-6E32-4A62-A0A0-D87FD735B088}">
    <text>Uniquely identifies each Indicator. The numerical part specifies the objective that it is measuring, and the alphabetical part allows there to be multiple indicators for a single objective.</text>
  </threadedComment>
  <threadedComment ref="F11" dT="2023-08-14T17:55:59.14" personId="{E905DCE4-5CD5-4CD5-83E2-FED6E197B5BF}" id="{E25B4818-9B0A-4687-B47C-C2F460574933}">
    <text>This column contains definitions of any key terms in the description.</text>
  </threadedComment>
  <threadedComment ref="G11" dT="2023-08-14T17:54:59.68" personId="{E905DCE4-5CD5-4CD5-83E2-FED6E197B5BF}" id="{CDCE9096-3C32-4AC6-9A3C-C7498D804B73}">
    <text>The unit used to provide context to the indicator value. For indicators measured as a percent, the Units specifies the denominator of the percent calculation e.g. % of intervention water points = (numerical indicator value)/(number of intervention water points)</text>
  </threadedComment>
  <threadedComment ref="H11" dT="2023-08-14T17:51:25.49" personId="{E905DCE4-5CD5-4CD5-83E2-FED6E197B5BF}" id="{6DD68252-5D27-499A-8E34-E4E881785FB1}">
    <text xml:space="preserve">In service: The data form has already been created and used previously. 
Needs mods: Some modification to the current data form may be necessary.
Needs training: All of the appropriate stakeholders have not been trained on its usage.
</text>
  </threadedComment>
  <threadedComment ref="J11" dT="2023-08-14T17:49:33.91" personId="{E905DCE4-5CD5-4CD5-83E2-FED6E197B5BF}" id="{52DAC638-A0DC-4B37-B6DF-F30E2A1B90BA}">
    <text>These are the factors by which an indicator can be grouped (aggregation) or split into (disaggregation).</text>
  </threadedComment>
  <threadedComment ref="R11" dT="2023-08-10T18:53:46.88" personId="{E905DCE4-5CD5-4CD5-83E2-FED6E197B5BF}" id="{BB240031-68DB-45AB-876D-2476977BFCD6}">
    <text>The symbol "-", indicators that no new data collection is needed to validate this information.</text>
  </threadedComment>
  <threadedComment ref="D14" dT="2025-06-20T17:41:14.99" personId="{C77C3A09-010B-41A9-8F17-A321D7218A0A}" id="{0912926B-81E0-4AD1-B0FC-A5E7760F71D1}">
    <text>Ask the RC President to share this data with us.</text>
  </threadedComment>
  <threadedComment ref="D15" dT="2025-06-20T17:41:23.78" personId="{C77C3A09-010B-41A9-8F17-A321D7218A0A}" id="{20CC48F4-DB96-4CE1-93F6-0490EE4D560A}">
    <text>Ask the RC President to share this data with us.</text>
  </threadedComment>
  <threadedComment ref="D16" dT="2025-06-20T17:41:32.51" personId="{C77C3A09-010B-41A9-8F17-A321D7218A0A}" id="{FD8D5EEE-D211-4312-B119-B3F74808678D}">
    <text>Ask the RC President to share this data with us.</text>
  </threadedComment>
  <threadedComment ref="D17" dT="2025-06-20T17:50:39.37" personId="{C77C3A09-010B-41A9-8F17-A321D7218A0A}" id="{9F613657-4B2F-4AA5-AE06-C3E1141F2B1A}">
    <text>Get regular (quarterly) reports from the Mayors on progress toward the implementation of the CAP.</text>
  </threadedComment>
  <threadedComment ref="E17" dT="2024-03-22T03:16:05.31" personId="{C77C3A09-010B-41A9-8F17-A321D7218A0A}" id="{FD802DAD-D3E8-4D1A-A7A2-149B17068062}">
    <text>We replaced "implemented activities" with "approved interventions" to emphasize the fact that here we cannot talk about activities but interventions since in the CAP, intervention is used to described the different WASH products that need to be delivered at the commune level. "Approved" means that  the interventions on which HANWASH or partners are working on should be assigned by local authorities to reinforce local leadership.</text>
  </threadedComment>
  <threadedComment ref="D19" dT="2025-06-20T17:51:25.10" personId="{C77C3A09-010B-41A9-8F17-A321D7218A0A}" id="{D7E0261A-5E36-4C6B-8A3D-7A6E51D53802}">
    <text>Get regular (quarterly) reports from the Mayors on progress towards this indicator.</text>
  </threadedComment>
  <threadedComment ref="D19" dT="2025-06-20T17:52:08.20" personId="{C77C3A09-010B-41A9-8F17-A321D7218A0A}" id="{32E85957-CD93-4F67-BE55-0AED3E32E540}" parentId="{D7E0261A-5E36-4C6B-8A3D-7A6E51D53802}">
    <text>Alex will create a form and train the Mayors on using it.</text>
  </threadedComment>
  <threadedComment ref="E20" dT="2024-03-22T03:18:33.48" personId="{C77C3A09-010B-41A9-8F17-A321D7218A0A}" id="{C6B7E31D-B805-454E-A046-30596B0E88C0}">
    <text>For more specificity, we added "...under HANWASH initiative…"</text>
  </threadedComment>
  <threadedComment ref="F23" dT="2024-03-06T05:04:49.53" personId="{C77C3A09-010B-41A9-8F17-A321D7218A0A}" id="{CAC3D02E-BEEB-44C6-9704-F5576551EF92}">
    <text xml:space="preserve">I believe it's important to measure this indicator to foster Service Providers' responsiveness. </text>
  </threadedComment>
  <threadedComment ref="F24" dT="2024-03-06T05:04:49.53" personId="{C77C3A09-010B-41A9-8F17-A321D7218A0A}" id="{53B1BEE8-9D36-47E3-9C5C-AC24A7B7E942}">
    <text xml:space="preserve">I believe it's important to measure this indicator to foster Service Providers' responsiveness. </text>
  </threadedComment>
  <threadedComment ref="E31" dT="2024-10-15T12:49:27.87" personId="{C77C3A09-010B-41A9-8F17-A321D7218A0A}" id="{654BFD3D-67CA-4549-AB28-63583275ADF2}">
    <text>Added “or a budget with surplus” to make the indicator capture the whole picture.</text>
  </threadedComment>
  <threadedComment ref="E32" dT="2024-02-29T16:13:04.80" personId="{E8138FA0-0E04-4F22-90D6-0509B80D4718}" id="{A227B25C-2BFE-4326-9110-19A9EA834AFB}">
    <text xml:space="preserve">For more specificity in the indicator wording, I would suggest: "# of people in intervention communes with access to basic drinking water service through community managed water points" </text>
  </threadedComment>
  <threadedComment ref="E33" dT="2024-02-29T16:18:53.02" personId="{C77C3A09-010B-41A9-8F17-A321D7218A0A}" id="{47A6AB19-66F6-4A81-A304-C8585F022175}">
    <text xml:space="preserve">For more specificity in the indicator wording, I would suggest: "# of people in intervention communes with access to safely managed drinking water service through professionally operated piped water systems" </text>
  </threadedComment>
  <threadedComment ref="E37" dT="2024-02-29T16:49:52.82" personId="{C77C3A09-010B-41A9-8F17-A321D7218A0A}" id="{73E2205E-FFE8-4A87-92DC-FFF9AD903E19}">
    <text xml:space="preserve"> added "...in the intervention communities" for more specificity. </text>
  </threadedComment>
  <threadedComment ref="E39" dT="2024-02-29T17:28:09.95" personId="{C77C3A09-010B-41A9-8F17-A321D7218A0A}" id="{83109983-12FE-4477-8F16-C8D68B63936A}">
    <text>I replaced "people" by "population"</text>
  </threadedComment>
  <threadedComment ref="C43" dT="2025-06-30T16:19:54.95" personId="{C77C3A09-010B-41A9-8F17-A321D7218A0A}" id="{1B4112E8-D469-4F86-8926-97A18DFF59C7}">
    <text>Who will fund those public Water infrastructures? Which management structures can be established to make those public (schools and healthcare facilities) Water infrastructures sustainable? Is it realistic to say that the Households will pay a surplus fee to cover operational cost for schools and Healthcare facilities water infrastructures?</text>
  </threadedComment>
</ThreadedComments>
</file>

<file path=xl/threadedComments/threadedComment3.xml><?xml version="1.0" encoding="utf-8"?>
<ThreadedComments xmlns="http://schemas.microsoft.com/office/spreadsheetml/2018/threadedcomments" xmlns:x="http://schemas.openxmlformats.org/spreadsheetml/2006/main">
  <threadedComment ref="D14" dT="2023-08-14T17:57:26.32" personId="{E905DCE4-5CD5-4CD5-83E2-FED6E197B5BF}" id="{B2E475DF-C36A-4A85-837F-F8FF5AB60869}">
    <text>Uniquely identifies each Indicator. The numerical part specifies the objective that it is measuring, and the alphabetical part allows there to be multiple indicators for a single objective.</text>
  </threadedComment>
  <threadedComment ref="F14" dT="2023-08-14T17:55:59.14" personId="{E905DCE4-5CD5-4CD5-83E2-FED6E197B5BF}" id="{987FFBF6-C617-4F12-9BBF-FF35BEA213F6}">
    <text>This column contains definitions of any key terms in the description.</text>
  </threadedComment>
  <threadedComment ref="G14" dT="2023-08-14T17:54:59.68" personId="{E905DCE4-5CD5-4CD5-83E2-FED6E197B5BF}" id="{7E14A926-16DF-4FC5-9910-A35FD43FC6F8}">
    <text>The unit used to provide context to the indicator value. For indicators measured as a percent, the Units specifies the denominator of the percent calculation e.g. % of intervention water points = (numerical indicator value)/(number of intervention water points)</text>
  </threadedComment>
  <threadedComment ref="H14" dT="2023-08-14T17:51:25.49" personId="{E905DCE4-5CD5-4CD5-83E2-FED6E197B5BF}" id="{5D4BB958-875F-42AD-9A2E-940E4CCD0BE6}">
    <text xml:space="preserve">In service: The data form has already been created and used previously. 
Needs mods: Some modification to the current data form may be necessary.
Needs training: All of the appropriate stakeholders have not been trained on its usage.
</text>
  </threadedComment>
  <threadedComment ref="J14" dT="2023-08-14T17:49:33.91" personId="{E905DCE4-5CD5-4CD5-83E2-FED6E197B5BF}" id="{CEF76ABD-44CD-4FA3-BD26-62146A303527}">
    <text>These are the factors by which an indicator can be grouped (aggregation) or split into (disaggregation).</text>
  </threadedComment>
  <threadedComment ref="R14" dT="2023-08-10T18:53:46.88" personId="{E905DCE4-5CD5-4CD5-83E2-FED6E197B5BF}" id="{5A79EB18-6BF6-4352-8EC1-F4ADD66C1D31}">
    <text>The symbol "-", indicators that no new data collection is needed to validate this information.</text>
  </threadedComment>
  <threadedComment ref="E17" dT="2023-08-10T15:05:22.96" personId="{965B7E8D-ACF8-CB40-AC16-BBA9BC3C7FA0}" id="{86C952B3-D3FC-8149-AA9C-C13A820AD296}">
    <text>"Rotarian" includes:_x000D_
-Ambassador club members (within Haiti)_x000D_
-Champion club members (outside of Haiti)_x000D_
-HANWASH staff and volunteers_x000D_
M&amp;E team, is this correct?</text>
  </threadedComment>
  <threadedComment ref="E17" dT="2025-05-26T21:05:56.53" personId="{C77C3A09-010B-41A9-8F17-A321D7218A0A}" id="{4F7BDAF7-C2BE-420B-AC60-8711A29286F5}" parentId="{86C952B3-D3FC-8149-AA9C-C13A820AD296}">
    <text xml:space="preserve">"Rotarian" includes:
-Ambassador and Rotary Club members (within Haiti)
-Champion club members (outside of Haiti)
-HANWASH Subcommittee members
-HANWASH Steering Committee members
</text>
  </threadedComment>
  <threadedComment ref="E18" dT="2023-08-10T15:05:22.96" personId="{965B7E8D-ACF8-CB40-AC16-BBA9BC3C7FA0}" id="{34CB827F-F8E8-4DD0-86E2-A7DA7A6CC1EF}">
    <text>"Rotarian" includes:_x000D_
-Ambassador club members (within Haiti)_x000D_
-Champion club members (outside of Haiti)_x000D_
-HANWASH staff and volunteers_x000D_
M&amp;E team, is this correct?</text>
  </threadedComment>
  <threadedComment ref="E18" dT="2024-02-23T15:42:27.21" personId="{C77C3A09-010B-41A9-8F17-A321D7218A0A}" id="{99C27CC7-0231-4DBB-BC43-0013D0B93EF9}" parentId="{34CB827F-F8E8-4DD0-86E2-A7DA7A6CC1EF}">
    <text>Set as row 14</text>
  </threadedComment>
  <threadedComment ref="E18" dT="2024-03-06T03:34:36.83" personId="{C77C3A09-010B-41A9-8F17-A321D7218A0A}" id="{E4D6AB5A-551F-4856-AD2D-20BB3F16430B}" parentId="{34CB827F-F8E8-4DD0-86E2-A7DA7A6CC1EF}">
    <text xml:space="preserve">I think this indicator is relevant since it assess, not only the participation but the extent to which Rotarians take the leadership of WASH events. </text>
  </threadedComment>
  <threadedComment ref="E20" dT="2024-03-06T03:53:52.63" personId="{C77C3A09-010B-41A9-8F17-A321D7218A0A}" id="{D1FDF359-3B7D-49E8-8578-D35740DE73CF}">
    <text>I think it's important to track the number of people reached by Rotarians in the commune events led by them. This can give us insights on the intensity of the advocacy efforts.</text>
  </threadedComment>
  <threadedComment ref="E25" dT="2024-03-22T03:16:05.31" personId="{C77C3A09-010B-41A9-8F17-A321D7218A0A}" id="{F0AD05F4-DD40-4853-9CED-45F01250A228}">
    <text>We replaced "implemented activities" with "approved interventions" to emphasize the fact that here we cannot talk about activities but interventions since in the CAP, intervention is used to described the different WASH products that need to be delivered at the commune level. "Approved" means that  the interventions on which HANWASH or partners are working on should be assigned by local authorities to reinforce local leadership.</text>
  </threadedComment>
  <threadedComment ref="E28" dT="2024-03-22T03:18:33.48" personId="{C77C3A09-010B-41A9-8F17-A321D7218A0A}" id="{69B11551-AA0F-4BE6-865F-815D10A1E62B}">
    <text>For more specificity, we added "...under HANWASH initiative…"</text>
  </threadedComment>
  <threadedComment ref="F33" dT="2024-03-06T05:04:49.53" personId="{C77C3A09-010B-41A9-8F17-A321D7218A0A}" id="{BD5BBAB0-BF16-46CF-BA6A-F2567D36C3D2}">
    <text xml:space="preserve">I believe it's important to measure this indicator to foster Service Providers' responsiveness. </text>
  </threadedComment>
  <threadedComment ref="E36" dT="2023-09-26T19:30:22.65" personId="{E905DCE4-5CD5-4CD5-83E2-FED6E197B5BF}" id="{FE71002E-CDF4-4719-8171-12965BD4ECB4}">
    <text>Do we need to have this only after 2 yrs?</text>
  </threadedComment>
  <threadedComment ref="E39" dT="2024-10-15T12:49:27.87" personId="{C77C3A09-010B-41A9-8F17-A321D7218A0A}" id="{63785882-445D-49A9-AED0-37764760B6EC}">
    <text>Added “or a budget with surplus” to make the indicator capture the whole picture.</text>
  </threadedComment>
  <threadedComment ref="E40" dT="2024-02-29T16:13:04.80" personId="{E8138FA0-0E04-4F22-90D6-0509B80D4718}" id="{13816A36-5ECB-429A-9CB3-52443A9A5931}">
    <text xml:space="preserve">For more specificity in the indicator wording, I would suggest: "# of people in intervention communes with access to basic drinking water service through community managed water points" </text>
  </threadedComment>
  <threadedComment ref="K42" dT="2024-03-22T03:02:03.17" personId="{C77C3A09-010B-41A9-8F17-A321D7218A0A}" id="{353D8DB7-7E18-4BED-8364-77241285F5C0}">
    <text>We need to check if the Implementation Event Tracking form is suitable to register the CPE monthly reports. Otherwise, we'll need to create a specific form for those reports.</text>
  </threadedComment>
  <threadedComment ref="E43" dT="2024-02-29T16:18:53.02" personId="{C77C3A09-010B-41A9-8F17-A321D7218A0A}" id="{A9A383F8-0BF9-4BA0-ABCE-9B918F93CD8F}">
    <text xml:space="preserve">For more specificity in the indicator wording, I would suggest: "# of people in intervention communes with access to safely managed drinking water service through professionally operated piped water systems" </text>
  </threadedComment>
  <threadedComment ref="E45" dT="2024-02-29T16:23:49.40" personId="{C77C3A09-010B-41A9-8F17-A321D7218A0A}" id="{5B2886C1-180D-441A-BC63-FF134239F1EA}">
    <text xml:space="preserve">I added "...in the intervention communes" for more specificity. </text>
  </threadedComment>
  <threadedComment ref="E49" dT="2024-02-29T16:49:52.82" personId="{C77C3A09-010B-41A9-8F17-A321D7218A0A}" id="{37C2145F-4DEF-4575-8DFC-1EB5ADF5D029}">
    <text xml:space="preserve"> added "...in the intervention communities" for more specificity. </text>
  </threadedComment>
  <threadedComment ref="E50" dT="2024-07-01T16:10:57.70" personId="{C77C3A09-010B-41A9-8F17-A321D7218A0A}" id="{F7FEEF52-8898-4C18-8B21-9F810127E502}">
    <text xml:space="preserve">It would be less time consuming and more manageable to assess this for the communal sections. There are too many villages in the communes. </text>
  </threadedComment>
  <threadedComment ref="E53" dT="2024-02-29T17:28:09.95" personId="{C77C3A09-010B-41A9-8F17-A321D7218A0A}" id="{0DDB24FF-041A-460D-A784-D62C675EFE95}">
    <text>I replaced "people" by "population"</text>
  </threadedComment>
  <threadedComment ref="E60" dT="2024-02-29T17:38:16.55" personId="{C77C3A09-010B-41A9-8F17-A321D7218A0A}" id="{5F10EC84-BA7A-4FAF-9F4F-FF549E3D340A}">
    <text>To make the indicator SMARTer, I would suggest this wording instead: "# of schools provided with access to basic drinking water services in the intervention communes"</text>
  </threadedComment>
  <threadedComment ref="E61" dT="2024-02-29T17:40:23.05" personId="{C77C3A09-010B-41A9-8F17-A321D7218A0A}" id="{BF51C403-E360-4534-A32D-38290E6A0A82}">
    <text>To make the indicator SMARTer, I would suggest this wording instead: "# of healthcare facilities provided with access to basic drinking water services in the intervention communes"</text>
  </threadedComment>
  <threadedComment ref="E62" dT="2024-02-29T17:41:02.00" personId="{C77C3A09-010B-41A9-8F17-A321D7218A0A}" id="{D8B7934A-3026-4E5A-A812-180F90C19443}">
    <text>To make the indicator SMARTer, I would suggest this wording instead: "# of schools provided with access to basic sanitation services in the intervention communes"</text>
  </threadedComment>
  <threadedComment ref="E63" dT="2024-02-29T17:42:40.53" personId="{C77C3A09-010B-41A9-8F17-A321D7218A0A}" id="{1E5505A4-100E-4E2F-9297-D6E48CA2DDD1}">
    <text>To make the indicator SMARTer, I would suggest this wording instead: "# of healthcare facilities provided with access to basic sanitation services in the intervention communes"</text>
  </threadedComment>
  <threadedComment ref="E64" dT="2024-02-29T17:43:18.60" personId="{C77C3A09-010B-41A9-8F17-A321D7218A0A}" id="{6CF26BFD-F919-4B6C-A5BC-2C659D5891EB}">
    <text>To make the indicator SMARTer, I would suggest this wording instead: "# of schools provided with access to basic hygiene services in the intervention communes"</text>
  </threadedComment>
  <threadedComment ref="E65" dT="2024-02-29T17:44:04.76" personId="{C77C3A09-010B-41A9-8F17-A321D7218A0A}" id="{8BF6E5A9-4FBA-44EC-87B1-75A81A87CAC6}">
    <text>To make the indicator SMARTer, I would suggest this wording instead: "# of healthcare facilities provided with access to basic hygiene services in the intervention communes"</text>
  </threadedComment>
  <threadedComment ref="F67" dT="2023-08-14T17:25:28.42" personId="{E905DCE4-5CD5-4CD5-83E2-FED6E197B5BF}" id="{9D6BDB77-D995-46CA-9B3E-64E744707628}">
    <text>Need a definition for "Aligned with HANWASH Core Values" here</text>
  </threadedComment>
  <threadedComment ref="E68" dT="2024-02-29T18:07:11.08" personId="{C77C3A09-010B-41A9-8F17-A321D7218A0A}" id="{4276713D-6E62-4F19-AE35-1FD6A3D5B8D8}">
    <text>I would add "...in alignment with HANWASH goal, outcomes and Commune Action Plan"</text>
  </threadedComment>
  <threadedComment ref="D72" dT="2025-06-30T17:33:13.95" personId="{C77C3A09-010B-41A9-8F17-A321D7218A0A}" id="{1B8A98BA-F530-4AFE-BF02-A9C6E558E8BB}">
    <text xml:space="preserve">This output and indicator might unintentionally imply that DINEPA staff are not already leaders or lack leadership skills, which could be perceived as patronizing or diminishing their professional expertise. It suggests an external party is "making" them leaders, which can come across as condescending. </text>
  </threadedComment>
</ThreadedComments>
</file>

<file path=xl/threadedComments/threadedComment4.xml><?xml version="1.0" encoding="utf-8"?>
<ThreadedComments xmlns="http://schemas.microsoft.com/office/spreadsheetml/2018/threadedcomments" xmlns:x="http://schemas.openxmlformats.org/spreadsheetml/2006/main">
  <threadedComment ref="D11" dT="2023-08-14T17:57:26.32" personId="{E905DCE4-5CD5-4CD5-83E2-FED6E197B5BF}" id="{1E4FA560-3896-419B-90A0-D27C06A4C30E}">
    <text>Uniquely identifies each Indicator. The numerical part specifies the objective that it is measuring, and the alphabetical part allows there to be multiple indicators for a single objective.</text>
  </threadedComment>
  <threadedComment ref="F11" dT="2023-08-14T17:55:59.14" personId="{E905DCE4-5CD5-4CD5-83E2-FED6E197B5BF}" id="{3D2F82A4-92EB-45F0-BD69-E684CE124E5B}">
    <text>This column contains definitions of any key terms in the description.</text>
  </threadedComment>
  <threadedComment ref="G11" dT="2023-08-14T17:54:59.68" personId="{E905DCE4-5CD5-4CD5-83E2-FED6E197B5BF}" id="{D6208897-F45E-41FF-A50E-9C6C9D544A2E}">
    <text>The unit used to provide context to the indicator value. For indicators measured as a percent, the Units specifies the denominator of the percent calculation e.g. % of intervention water points = (numerical indicator value)/(number of intervention water points)</text>
  </threadedComment>
  <threadedComment ref="H11" dT="2023-08-14T17:51:25.49" personId="{E905DCE4-5CD5-4CD5-83E2-FED6E197B5BF}" id="{FC1EB73A-5B04-458A-9A0C-FDFCF05BC4A1}">
    <text xml:space="preserve">In service: The data form has already been created and used previously. 
Needs mods: Some modification to the current data form may be necessary.
Needs training: All of the appropriate stakeholders have not been trained on its usage.
</text>
  </threadedComment>
  <threadedComment ref="J11" dT="2023-08-14T17:49:33.91" personId="{E905DCE4-5CD5-4CD5-83E2-FED6E197B5BF}" id="{E8FFA6B0-8EF8-427B-823B-41E6AE71296E}">
    <text>These are the factors by which an indicator can be grouped (aggregation) or split into (disaggregation).</text>
  </threadedComment>
  <threadedComment ref="R11" dT="2023-08-10T18:53:46.88" personId="{E905DCE4-5CD5-4CD5-83E2-FED6E197B5BF}" id="{84125185-53EF-43E3-9849-667A6084B4D2}">
    <text>The symbol "-", indicators that no new data collection is needed to validate this information.</text>
  </threadedComment>
  <threadedComment ref="D14" dT="2025-06-20T17:41:14.99" personId="{C77C3A09-010B-41A9-8F17-A321D7218A0A}" id="{29338250-90D7-429C-A4DD-D74A53A37F03}">
    <text>Ask the RC President to share this data with us.</text>
  </threadedComment>
  <threadedComment ref="D15" dT="2025-06-20T17:41:23.78" personId="{C77C3A09-010B-41A9-8F17-A321D7218A0A}" id="{5D755362-E311-4518-9D5E-19346DBE17B3}">
    <text>Ask the RC President to share this data with us.</text>
  </threadedComment>
  <threadedComment ref="D16" dT="2025-06-20T17:41:32.51" personId="{C77C3A09-010B-41A9-8F17-A321D7218A0A}" id="{060CC3E3-3ABD-4996-8A02-C3EDE0438AD4}">
    <text>Ask the RC President to share this data with us.</text>
  </threadedComment>
  <threadedComment ref="D17" dT="2025-06-20T17:50:39.37" personId="{C77C3A09-010B-41A9-8F17-A321D7218A0A}" id="{2739F72C-F140-47B0-91A0-1295235F4EF3}">
    <text>Get regular (quarterly) reports from the Mayors on progress toward the implementation of the CAP.</text>
  </threadedComment>
  <threadedComment ref="E17" dT="2024-03-22T03:16:05.31" personId="{C77C3A09-010B-41A9-8F17-A321D7218A0A}" id="{1324CA91-D927-45D5-A54B-E9051A870BDF}">
    <text>We replaced "implemented activities" with "approved interventions" to emphasize the fact that here we cannot talk about activities but interventions since in the CAP, intervention is used to described the different WASH products that need to be delivered at the commune level. "Approved" means that  the interventions on which HANWASH or partners are working on should be assigned by local authorities to reinforce local leadership.</text>
  </threadedComment>
  <threadedComment ref="D19" dT="2025-06-20T17:51:25.10" personId="{C77C3A09-010B-41A9-8F17-A321D7218A0A}" id="{178BEA56-3E35-4BCD-944F-AD3BC89BBB17}">
    <text>Get regular (quarterly) reports from the Mayors on progress towards this indicator.</text>
  </threadedComment>
  <threadedComment ref="D19" dT="2025-06-20T17:52:08.20" personId="{C77C3A09-010B-41A9-8F17-A321D7218A0A}" id="{D969E73C-CF50-422F-974D-F9BFFFDC4140}" parentId="{178BEA56-3E35-4BCD-944F-AD3BC89BBB17}">
    <text>Alex will create a form and train the Mayors on using it.</text>
  </threadedComment>
  <threadedComment ref="E20" dT="2024-03-22T03:18:33.48" personId="{C77C3A09-010B-41A9-8F17-A321D7218A0A}" id="{62B60B50-36C6-4126-91A9-54873D8729E9}">
    <text>For more specificity, we added "...under HANWASH initiative…"</text>
  </threadedComment>
  <threadedComment ref="F23" dT="2024-03-06T05:04:49.53" personId="{C77C3A09-010B-41A9-8F17-A321D7218A0A}" id="{AC121C89-D44C-4939-864B-1672B533CE03}">
    <text xml:space="preserve">I believe it's important to measure this indicator to foster Service Providers' responsiveness. </text>
  </threadedComment>
  <threadedComment ref="F24" dT="2024-03-06T05:04:49.53" personId="{C77C3A09-010B-41A9-8F17-A321D7218A0A}" id="{E0A500F2-1569-4D82-895C-ABB5617225A4}">
    <text xml:space="preserve">I believe it's important to measure this indicator to foster Service Providers' responsiveness. </text>
  </threadedComment>
  <threadedComment ref="E31" dT="2024-10-15T12:49:27.87" personId="{C77C3A09-010B-41A9-8F17-A321D7218A0A}" id="{F42DDF2E-4228-467F-B363-14A3FAD2DB2C}">
    <text>Added “or a budget with surplus” to make the indicator capture the whole picture.</text>
  </threadedComment>
  <threadedComment ref="E32" dT="2024-02-29T16:13:04.80" personId="{E8138FA0-0E04-4F22-90D6-0509B80D4718}" id="{E53F9D60-B2E8-43F0-A1E2-CEDB54756A47}">
    <text xml:space="preserve">For more specificity in the indicator wording, I would suggest: "# of people in intervention communes with access to basic drinking water service through community managed water points" </text>
  </threadedComment>
  <threadedComment ref="E33" dT="2024-02-29T16:18:53.02" personId="{C77C3A09-010B-41A9-8F17-A321D7218A0A}" id="{805A26B0-C3B4-42EC-88A4-BD43B8CF1538}">
    <text xml:space="preserve">For more specificity in the indicator wording, I would suggest: "# of people in intervention communes with access to safely managed drinking water service through professionally operated piped water systems" </text>
  </threadedComment>
  <threadedComment ref="E37" dT="2024-02-29T16:49:52.82" personId="{C77C3A09-010B-41A9-8F17-A321D7218A0A}" id="{59F32DC5-2D71-42B4-BD82-C80195E674F5}">
    <text xml:space="preserve"> added "...in the intervention communities" for more specificity. </text>
  </threadedComment>
  <threadedComment ref="E39" dT="2024-02-29T17:28:09.95" personId="{C77C3A09-010B-41A9-8F17-A321D7218A0A}" id="{BCF44B58-52F5-491C-A2DB-32CCC915EB09}">
    <text>I replaced "people" by "population"</text>
  </threadedComment>
  <threadedComment ref="C43" dT="2025-06-30T16:19:54.95" personId="{C77C3A09-010B-41A9-8F17-A321D7218A0A}" id="{8DFB3B85-2C78-419F-BA95-DC07980E74D2}">
    <text>Who will fund those public Water infrastructures? Which management structures can be established to make those public (schools and healthcare facilities) Water infrastructures sustainable? Is it realistic to say that the Households will pay a surplus fee to cover operational cost for schools and Healthcare facilities water infrastructures?</text>
  </threadedComment>
</ThreadedComments>
</file>

<file path=xl/threadedComments/threadedComment5.xml><?xml version="1.0" encoding="utf-8"?>
<ThreadedComments xmlns="http://schemas.microsoft.com/office/spreadsheetml/2018/threadedcomments" xmlns:x="http://schemas.openxmlformats.org/spreadsheetml/2006/main">
  <threadedComment ref="D11" dT="2023-08-14T17:57:26.32" personId="{E905DCE4-5CD5-4CD5-83E2-FED6E197B5BF}" id="{F61046D1-ED1A-470E-A4AE-751A30C0E0AE}">
    <text>Uniquely identifies each Indicator. The numerical part specifies the objective that it is measuring, and the alphabetical part allows there to be multiple indicators for a single objective.</text>
  </threadedComment>
  <threadedComment ref="F11" dT="2023-08-14T17:55:59.14" personId="{E905DCE4-5CD5-4CD5-83E2-FED6E197B5BF}" id="{19E8B7CA-130A-4B9E-9A61-389F8255AA40}">
    <text>This column contains definitions of any key terms in the description.</text>
  </threadedComment>
  <threadedComment ref="G11" dT="2023-08-14T17:54:59.68" personId="{E905DCE4-5CD5-4CD5-83E2-FED6E197B5BF}" id="{05475184-2E77-43B4-8BC2-A3FC9FF0C2F8}">
    <text>The unit used to provide context to the indicator value. For indicators measured as a percent, the Units specifies the denominator of the percent calculation e.g. % of intervention water points = (numerical indicator value)/(number of intervention water points)</text>
  </threadedComment>
  <threadedComment ref="H11" dT="2023-08-14T17:51:25.49" personId="{E905DCE4-5CD5-4CD5-83E2-FED6E197B5BF}" id="{6378518F-7456-451F-8E59-7099142B22CF}">
    <text xml:space="preserve">In service: The data form has already been created and used previously. 
Needs mods: Some modification to the current data form may be necessary.
Needs training: All of the appropriate stakeholders have not been trained on its usage.
</text>
  </threadedComment>
  <threadedComment ref="J11" dT="2023-08-14T17:49:33.91" personId="{E905DCE4-5CD5-4CD5-83E2-FED6E197B5BF}" id="{27FB1D7C-B6A8-4434-AFBB-6251DCC0B209}">
    <text>These are the factors by which an indicator can be grouped (aggregation) or split into (disaggregation).</text>
  </threadedComment>
  <threadedComment ref="R11" dT="2023-08-10T18:53:46.88" personId="{E905DCE4-5CD5-4CD5-83E2-FED6E197B5BF}" id="{6F87D26C-9ECB-43A7-96C3-FE50223C7230}">
    <text>The symbol "-", indicators that no new data collection is needed to validate this information.</text>
  </threadedComment>
  <threadedComment ref="D14" dT="2025-06-20T17:41:14.99" personId="{C77C3A09-010B-41A9-8F17-A321D7218A0A}" id="{095AE202-39E0-4D19-B3DE-26D9023B7193}">
    <text>Ask the RC President to share this data with us.</text>
  </threadedComment>
  <threadedComment ref="D15" dT="2025-06-20T17:41:23.78" personId="{C77C3A09-010B-41A9-8F17-A321D7218A0A}" id="{17DA0E6C-D11F-47E4-8006-B26BFF15CA87}">
    <text>Ask the RC President to share this data with us.</text>
  </threadedComment>
  <threadedComment ref="D16" dT="2025-06-20T17:41:32.51" personId="{C77C3A09-010B-41A9-8F17-A321D7218A0A}" id="{09703E16-AFFF-4E1B-89DC-23349D26AE33}">
    <text>Ask the RC President to share this data with us.</text>
  </threadedComment>
  <threadedComment ref="D17" dT="2025-06-20T17:50:39.37" personId="{C77C3A09-010B-41A9-8F17-A321D7218A0A}" id="{055F37A7-5FD2-4D52-BB5E-5AF10464EE5C}">
    <text>Get regular (quarterly) reports from the Mayors on progress toward the implementation of the CAP.</text>
  </threadedComment>
  <threadedComment ref="E17" dT="2024-03-22T03:16:05.31" personId="{C77C3A09-010B-41A9-8F17-A321D7218A0A}" id="{BA473003-6045-4AFD-9BF4-3B7854B6B6C8}">
    <text>We replaced "implemented activities" with "approved interventions" to emphasize the fact that here we cannot talk about activities but interventions since in the CAP, intervention is used to described the different WASH products that need to be delivered at the commune level. "Approved" means that  the interventions on which HANWASH or partners are working on should be assigned by local authorities to reinforce local leadership.</text>
  </threadedComment>
  <threadedComment ref="D19" dT="2025-06-20T17:51:25.10" personId="{C77C3A09-010B-41A9-8F17-A321D7218A0A}" id="{7F048B1E-6985-4220-BC56-D269F5214CC2}">
    <text>Get regular (quarterly) reports from the Mayors on progress towards this indicator.</text>
  </threadedComment>
  <threadedComment ref="D19" dT="2025-06-20T17:52:08.20" personId="{C77C3A09-010B-41A9-8F17-A321D7218A0A}" id="{8C1033C2-BFBE-4EC9-B7E8-4CAB78CD6BF9}" parentId="{7F048B1E-6985-4220-BC56-D269F5214CC2}">
    <text>Alex will create a form and train the Mayors on using it.</text>
  </threadedComment>
  <threadedComment ref="E20" dT="2024-03-22T03:18:33.48" personId="{C77C3A09-010B-41A9-8F17-A321D7218A0A}" id="{FDE5E79A-CAE6-4AFC-AE31-B46F19A7C852}">
    <text>For more specificity, we added "...under HANWASH initiative…"</text>
  </threadedComment>
  <threadedComment ref="F23" dT="2024-03-06T05:04:49.53" personId="{C77C3A09-010B-41A9-8F17-A321D7218A0A}" id="{4D485266-5F85-41E6-898C-1ABAC809EE09}">
    <text xml:space="preserve">I believe it's important to measure this indicator to foster Service Providers' responsiveness. </text>
  </threadedComment>
  <threadedComment ref="F24" dT="2024-03-06T05:04:49.53" personId="{C77C3A09-010B-41A9-8F17-A321D7218A0A}" id="{ED1A3C6C-2BDD-4E74-A5AC-D434FB5EF541}">
    <text xml:space="preserve">I believe it's important to measure this indicator to foster Service Providers' responsiveness. </text>
  </threadedComment>
  <threadedComment ref="E31" dT="2024-10-15T12:49:27.87" personId="{C77C3A09-010B-41A9-8F17-A321D7218A0A}" id="{021CBECF-59CB-466D-AA83-A1C7FAC9BB31}">
    <text>Added “or a budget with surplus” to make the indicator capture the whole picture.</text>
  </threadedComment>
  <threadedComment ref="E32" dT="2024-02-29T16:13:04.80" personId="{E8138FA0-0E04-4F22-90D6-0509B80D4718}" id="{FCFF8AF5-1B93-4909-B4B1-01CC0FC69C5A}">
    <text xml:space="preserve">For more specificity in the indicator wording, I would suggest: "# of people in intervention communes with access to basic drinking water service through community managed water points" </text>
  </threadedComment>
  <threadedComment ref="E33" dT="2024-02-29T16:18:53.02" personId="{C77C3A09-010B-41A9-8F17-A321D7218A0A}" id="{9B82B24F-0CD2-418A-8406-33AE11E3F1DA}">
    <text xml:space="preserve">For more specificity in the indicator wording, I would suggest: "# of people in intervention communes with access to safely managed drinking water service through professionally operated piped water systems" </text>
  </threadedComment>
  <threadedComment ref="E37" dT="2024-02-29T16:49:52.82" personId="{C77C3A09-010B-41A9-8F17-A321D7218A0A}" id="{D0037FA1-D521-4493-91ED-7ED16ED35F12}">
    <text xml:space="preserve"> added "...in the intervention communities" for more specificity. </text>
  </threadedComment>
  <threadedComment ref="E39" dT="2024-02-29T17:28:09.95" personId="{C77C3A09-010B-41A9-8F17-A321D7218A0A}" id="{C141C41A-2663-44A4-9943-71092161388D}">
    <text>I replaced "people" by "population"</text>
  </threadedComment>
  <threadedComment ref="C43" dT="2025-06-30T16:19:54.95" personId="{C77C3A09-010B-41A9-8F17-A321D7218A0A}" id="{C32D8014-016E-4949-AF7A-EE7C9C45B765}">
    <text>Who will fund those public Water infrastructures? Which management structures can be established to make those public (schools and healthcare facilities) Water infrastructures sustainable? Is it realistic to say that the Households will pay a surplus fee to cover operational cost for schools and Healthcare facilities water infrastructures?</text>
  </threadedComment>
</ThreadedComments>
</file>

<file path=xl/threadedComments/threadedComment6.xml><?xml version="1.0" encoding="utf-8"?>
<ThreadedComments xmlns="http://schemas.microsoft.com/office/spreadsheetml/2018/threadedcomments" xmlns:x="http://schemas.openxmlformats.org/spreadsheetml/2006/main">
  <threadedComment ref="D11" dT="2023-08-14T17:57:26.32" personId="{E905DCE4-5CD5-4CD5-83E2-FED6E197B5BF}" id="{918C34A1-0F6B-4B85-9E21-EE312F7865DE}">
    <text>Uniquely identifies each Indicator. The numerical part specifies the objective that it is measuring, and the alphabetical part allows there to be multiple indicators for a single objective.</text>
  </threadedComment>
  <threadedComment ref="F11" dT="2023-08-14T17:55:59.14" personId="{E905DCE4-5CD5-4CD5-83E2-FED6E197B5BF}" id="{F441253F-A0E1-4DEE-AA73-FE30F8286015}">
    <text>This column contains definitions of any key terms in the description.</text>
  </threadedComment>
  <threadedComment ref="G11" dT="2023-08-14T17:54:59.68" personId="{E905DCE4-5CD5-4CD5-83E2-FED6E197B5BF}" id="{7B5E0D61-D93C-457C-95FD-F7A0CF90BEFD}">
    <text>The unit used to provide context to the indicator value. For indicators measured as a percent, the Units specifies the denominator of the percent calculation e.g. % of intervention water points = (numerical indicator value)/(number of intervention water points)</text>
  </threadedComment>
  <threadedComment ref="H11" dT="2023-08-14T17:51:25.49" personId="{E905DCE4-5CD5-4CD5-83E2-FED6E197B5BF}" id="{C3DA0B6F-53B3-4B62-94A0-2414A052114B}">
    <text xml:space="preserve">In service: The data form has already been created and used previously. 
Needs mods: Some modification to the current data form may be necessary.
Needs training: All of the appropriate stakeholders have not been trained on its usage.
</text>
  </threadedComment>
  <threadedComment ref="J11" dT="2023-08-14T17:49:33.91" personId="{E905DCE4-5CD5-4CD5-83E2-FED6E197B5BF}" id="{EC183D59-5347-4F7F-9529-7C48B19F6BF3}">
    <text>These are the factors by which an indicator can be grouped (aggregation) or split into (disaggregation).</text>
  </threadedComment>
  <threadedComment ref="R11" dT="2023-08-10T18:53:46.88" personId="{E905DCE4-5CD5-4CD5-83E2-FED6E197B5BF}" id="{D45BC55F-CC32-4767-ACDD-5FB80ED2841D}">
    <text>The symbol "-", indicators that no new data collection is needed to validate this information.</text>
  </threadedComment>
  <threadedComment ref="D14" dT="2025-06-20T17:41:14.99" personId="{C77C3A09-010B-41A9-8F17-A321D7218A0A}" id="{F88A4399-6034-4B39-90B1-F600336A2238}">
    <text>Ask the RC President to share this data with us.</text>
  </threadedComment>
  <threadedComment ref="D15" dT="2025-06-20T17:41:23.78" personId="{C77C3A09-010B-41A9-8F17-A321D7218A0A}" id="{2F3ACEA4-002C-4CBE-8AE7-9BCD7DF5348B}">
    <text>Ask the RC President to share this data with us.</text>
  </threadedComment>
  <threadedComment ref="D16" dT="2025-06-20T17:41:32.51" personId="{C77C3A09-010B-41A9-8F17-A321D7218A0A}" id="{DD418044-5572-424B-96B7-B1D8E0E6F0E5}">
    <text>Ask the RC President to share this data with us.</text>
  </threadedComment>
  <threadedComment ref="D17" dT="2025-06-20T17:50:39.37" personId="{C77C3A09-010B-41A9-8F17-A321D7218A0A}" id="{9351DF03-9367-4339-8DD3-AC546F7E03E2}">
    <text>Get regular (quarterly) reports from the Mayors on progress toward the implementation of the CAP.</text>
  </threadedComment>
  <threadedComment ref="E17" dT="2024-03-22T03:16:05.31" personId="{C77C3A09-010B-41A9-8F17-A321D7218A0A}" id="{3E77E42B-C7DE-4755-8DA0-469B55580CE0}">
    <text>We replaced "implemented activities" with "approved interventions" to emphasize the fact that here we cannot talk about activities but interventions since in the CAP, intervention is used to described the different WASH products that need to be delivered at the commune level. "Approved" means that  the interventions on which HANWASH or partners are working on should be assigned by local authorities to reinforce local leadership.</text>
  </threadedComment>
  <threadedComment ref="D19" dT="2025-06-20T17:51:25.10" personId="{C77C3A09-010B-41A9-8F17-A321D7218A0A}" id="{3C30CDA8-5AD9-4CFF-BF84-F302054E66E3}">
    <text>Get regular (quarterly) reports from the Mayors on progress towards this indicator.</text>
  </threadedComment>
  <threadedComment ref="D19" dT="2025-06-20T17:52:08.20" personId="{C77C3A09-010B-41A9-8F17-A321D7218A0A}" id="{5249A945-6D49-4B8F-A257-AE82B2235C19}" parentId="{3C30CDA8-5AD9-4CFF-BF84-F302054E66E3}">
    <text>Alex will create a form and train the Mayors on using it.</text>
  </threadedComment>
  <threadedComment ref="E20" dT="2024-03-22T03:18:33.48" personId="{C77C3A09-010B-41A9-8F17-A321D7218A0A}" id="{DBF9553A-7B3C-4BA2-B7AD-B69275D9C001}">
    <text>For more specificity, we added "...under HANWASH initiative…"</text>
  </threadedComment>
  <threadedComment ref="F23" dT="2024-03-06T05:04:49.53" personId="{C77C3A09-010B-41A9-8F17-A321D7218A0A}" id="{9D1044A8-2D93-4217-A4A0-994342ED5E14}">
    <text xml:space="preserve">I believe it's important to measure this indicator to foster Service Providers' responsiveness. </text>
  </threadedComment>
  <threadedComment ref="F24" dT="2024-03-06T05:04:49.53" personId="{C77C3A09-010B-41A9-8F17-A321D7218A0A}" id="{9B6D0875-5901-4CE7-B1D8-05023A088123}">
    <text xml:space="preserve">I believe it's important to measure this indicator to foster Service Providers' responsiveness. </text>
  </threadedComment>
  <threadedComment ref="E31" dT="2024-10-15T12:49:27.87" personId="{C77C3A09-010B-41A9-8F17-A321D7218A0A}" id="{815ED157-670F-4B5A-AA54-F0FAEA4D1142}">
    <text>Added “or a budget with surplus” to make the indicator capture the whole picture.</text>
  </threadedComment>
  <threadedComment ref="E32" dT="2024-02-29T16:13:04.80" personId="{E8138FA0-0E04-4F22-90D6-0509B80D4718}" id="{2D9CF7A6-D214-4220-9D22-6474578422B2}">
    <text xml:space="preserve">For more specificity in the indicator wording, I would suggest: "# of people in intervention communes with access to basic drinking water service through community managed water points" </text>
  </threadedComment>
  <threadedComment ref="E33" dT="2024-02-29T16:18:53.02" personId="{C77C3A09-010B-41A9-8F17-A321D7218A0A}" id="{03B51456-3E55-4B17-ACDE-23CE7AF61E9A}">
    <text xml:space="preserve">For more specificity in the indicator wording, I would suggest: "# of people in intervention communes with access to safely managed drinking water service through professionally operated piped water systems" </text>
  </threadedComment>
  <threadedComment ref="E37" dT="2024-02-29T16:49:52.82" personId="{C77C3A09-010B-41A9-8F17-A321D7218A0A}" id="{70E0B5F7-F75F-4639-AC42-5A8DFD882F6F}">
    <text xml:space="preserve"> added "...in the intervention communities" for more specificity. </text>
  </threadedComment>
  <threadedComment ref="E39" dT="2024-02-29T17:28:09.95" personId="{C77C3A09-010B-41A9-8F17-A321D7218A0A}" id="{1FA25586-FB93-4E30-9DDE-32867D6C074D}">
    <text>I replaced "people" by "population"</text>
  </threadedComment>
  <threadedComment ref="C43" dT="2025-06-30T16:19:54.95" personId="{C77C3A09-010B-41A9-8F17-A321D7218A0A}" id="{DA8A1648-3EFE-43B5-BA79-FFFAA2CB1685}">
    <text>Who will fund those public Water infrastructures? Which management structures can be established to make those public (schools and healthcare facilities) Water infrastructures sustainable? Is it realistic to say that the Households will pay a surplus fee to cover operational cost for schools and Healthcare facilities water infrastructures?</text>
  </threadedComment>
</ThreadedComments>
</file>

<file path=xl/threadedComments/threadedComment7.xml><?xml version="1.0" encoding="utf-8"?>
<ThreadedComments xmlns="http://schemas.microsoft.com/office/spreadsheetml/2018/threadedcomments" xmlns:x="http://schemas.openxmlformats.org/spreadsheetml/2006/main">
  <threadedComment ref="D1" dT="2023-08-14T17:57:26.32" personId="{E905DCE4-5CD5-4CD5-83E2-FED6E197B5BF}" id="{6A44D848-B788-4845-B379-08DF19CE8667}">
    <text>Uniquely identifies each Indicator. The numerical part specifies the objective that it is measuring, and the alphabetical part allows there to be multiple indicators for a single objective.</text>
  </threadedComment>
  <threadedComment ref="F1" dT="2023-08-14T17:55:59.14" personId="{E905DCE4-5CD5-4CD5-83E2-FED6E197B5BF}" id="{5A3A69C7-4F76-4CF9-85FD-A8C8555A70DA}">
    <text>This column contains definitions of any key terms in the description.</text>
  </threadedComment>
  <threadedComment ref="G1" dT="2023-08-14T17:54:59.68" personId="{E905DCE4-5CD5-4CD5-83E2-FED6E197B5BF}" id="{D179A872-01B4-4CC5-A61E-BDFFBF95319B}">
    <text>The unit used to provide context to the indicator value. For indicators measured as a percent, the Units specifies the denominator of the percent calculation e.g. % of intervention water points = (numerical indicator value)/(number of intervention water points)</text>
  </threadedComment>
  <threadedComment ref="H1" dT="2023-08-14T17:51:25.49" personId="{E905DCE4-5CD5-4CD5-83E2-FED6E197B5BF}" id="{7C115C09-926A-4CAD-B992-A20E97110AF4}">
    <text xml:space="preserve">In service: The data form has already been created and used previously. 
Needs mods: Some modification to the current data form may be necessary.
Needs training: All of the appropriate stakeholders have not been trained on its usage.
</text>
  </threadedComment>
  <threadedComment ref="J1" dT="2023-08-14T17:49:33.91" personId="{E905DCE4-5CD5-4CD5-83E2-FED6E197B5BF}" id="{CCB43C0E-CDD5-4FBD-B3ED-C13681255051}">
    <text>These are the factors by which an indicator can be grouped (aggregation) or split into (disaggregation).</text>
  </threadedComment>
  <threadedComment ref="O1" dT="2023-08-10T18:53:46.88" personId="{E905DCE4-5CD5-4CD5-83E2-FED6E197B5BF}" id="{5D8D1B9D-1FAD-4E80-B24A-9B69D305516C}">
    <text>The symbol "-", indicators that no new data collection is needed to validate this information.</text>
  </threadedComment>
  <threadedComment ref="E4" dT="2023-08-10T15:05:22.96" personId="{965B7E8D-ACF8-CB40-AC16-BBA9BC3C7FA0}" id="{F289ADAC-CB2D-473E-8C85-B4D0E2A999EA}">
    <text>"Rotarian" includes:_x000D_
-Ambassador club members (within Haiti)_x000D_
-Champion club members (outside of Haiti)_x000D_
-HANWASH staff and volunteers_x000D_
M&amp;E team, is this correct?</text>
  </threadedComment>
  <threadedComment ref="E5" dT="2023-08-10T15:05:22.96" personId="{965B7E8D-ACF8-CB40-AC16-BBA9BC3C7FA0}" id="{767D750C-7320-4539-A699-C90F0672F1EB}">
    <text>"Rotarian" includes:_x000D_
-Ambassador club members (within Haiti)_x000D_
-Champion club members (outside of Haiti)_x000D_
-HANWASH staff and volunteers_x000D_
M&amp;E team, is this correct?</text>
  </threadedComment>
  <threadedComment ref="E5" dT="2024-02-23T15:42:27.21" personId="{C77C3A09-010B-41A9-8F17-A321D7218A0A}" id="{47C018D6-5BA9-4422-81F7-D1A1B3C61067}" parentId="{767D750C-7320-4539-A699-C90F0672F1EB}">
    <text>Set as row 14</text>
  </threadedComment>
  <threadedComment ref="E5" dT="2024-03-06T03:34:36.83" personId="{C77C3A09-010B-41A9-8F17-A321D7218A0A}" id="{43E23C95-DFA1-4837-AE11-4E1145AC5C93}" parentId="{767D750C-7320-4539-A699-C90F0672F1EB}">
    <text xml:space="preserve">I think this indicator is relevant since it assess, not only the participation but the extent to which Rotarians take the leadership of WASH events. </text>
  </threadedComment>
  <threadedComment ref="E7" dT="2024-03-06T03:53:52.63" personId="{C77C3A09-010B-41A9-8F17-A321D7218A0A}" id="{54C02788-107A-46DB-8F3A-68792CA56983}">
    <text>I think it's important to track the number of people reached by Rotarians in the commune events led by them. This can give us insights on the intensity of the advocacy efforts.</text>
  </threadedComment>
  <threadedComment ref="E12" dT="2024-03-22T03:16:05.31" personId="{C77C3A09-010B-41A9-8F17-A321D7218A0A}" id="{4F1F61C2-DA9A-45E3-A603-4C3D53CC024C}">
    <text>We replaced "implemented activities" with "approved interventions" to emphasize the fact that here we cannot talk about activities but interventions since in the CAP, intervention is used to described the different WASH products that need to be delivered at the commune level. "Approved" means that  the interventions on which HANWASH or partners are working on should be assigned by local authorities to reinforce local leadership.</text>
  </threadedComment>
  <threadedComment ref="E15" dT="2024-03-22T03:18:33.48" personId="{C77C3A09-010B-41A9-8F17-A321D7218A0A}" id="{8469EF8B-800C-4270-9E6B-DE477BEB535D}">
    <text>For more specificity, we added "...under HANWASH initiative…"</text>
  </threadedComment>
  <threadedComment ref="F20" dT="2024-03-06T05:04:49.53" personId="{C77C3A09-010B-41A9-8F17-A321D7218A0A}" id="{F1C11B59-48F2-4BCB-A8EF-05C0F9E021E0}">
    <text xml:space="preserve">I believe it's important to measure this indicator to foster Service Providers' efficiency. </text>
  </threadedComment>
  <threadedComment ref="E22" dT="2023-09-26T19:30:22.65" personId="{E905DCE4-5CD5-4CD5-83E2-FED6E197B5BF}" id="{6076127C-90CF-4B92-AC50-EC20A6BEC147}">
    <text>Do we need to have this only after 2 yrs?</text>
  </threadedComment>
  <threadedComment ref="E26" dT="2024-02-29T16:13:04.80" personId="{E8138FA0-0E04-4F22-90D6-0509B80D4718}" id="{728CDADA-5F36-43F9-9F56-AAC59D3086F5}">
    <text xml:space="preserve">For more specificity in the indicator wording, I would suggest: "# of people in intervention communes with access to basic drinking water service through community managed water points" </text>
  </threadedComment>
  <threadedComment ref="K28" dT="2024-03-22T03:02:03.17" personId="{C77C3A09-010B-41A9-8F17-A321D7218A0A}" id="{2F152F2C-854E-46EC-836E-A56FE60A776F}">
    <text>We need to check if the Implementation Event Tracking form is suitable to register the CPE monthly reports. Otherwise, we'll need to create a specific form for those reports.</text>
  </threadedComment>
  <threadedComment ref="E29" dT="2024-02-29T16:18:53.02" personId="{C77C3A09-010B-41A9-8F17-A321D7218A0A}" id="{942A346D-3899-4E2E-A456-E1B7A568990F}">
    <text xml:space="preserve">For more specificity in the indicator wording, I would suggest: "# of people in intervention communes with access to safely managed drinking water service through professionally operated piped water systems" </text>
  </threadedComment>
  <threadedComment ref="E31" dT="2024-02-29T16:23:49.40" personId="{C77C3A09-010B-41A9-8F17-A321D7218A0A}" id="{9A6672C1-AD55-4E18-BB2A-21E56D34F743}">
    <text xml:space="preserve">I added "...in the intervention communes" for more specificity. </text>
  </threadedComment>
  <threadedComment ref="E35" dT="2024-02-29T16:49:52.82" personId="{C77C3A09-010B-41A9-8F17-A321D7218A0A}" id="{8B542B0D-74AD-4EC0-817A-FEEBA28EB152}">
    <text xml:space="preserve"> added "...in the intervention communities" for more specificity. </text>
  </threadedComment>
  <threadedComment ref="E36" dT="2024-07-01T16:10:57.70" personId="{C77C3A09-010B-41A9-8F17-A321D7218A0A}" id="{7BDECC22-F684-467C-96B0-155E145584CB}">
    <text xml:space="preserve">It would be less time consuming and more manageable to assess this for the communal sections. There are too many villages in the communes. </text>
  </threadedComment>
  <threadedComment ref="E39" dT="2024-02-29T17:28:09.95" personId="{C77C3A09-010B-41A9-8F17-A321D7218A0A}" id="{FD771E50-5A75-4C41-99F2-74F34C83E722}">
    <text>I replaced "people" by "population"</text>
  </threadedComment>
  <threadedComment ref="E46" dT="2024-02-29T17:38:16.55" personId="{C77C3A09-010B-41A9-8F17-A321D7218A0A}" id="{CE207887-7142-4319-8F3B-4C94D10EB20F}">
    <text>To make the indicator SMARTer, I would suggest this wording instead: "# of schools provided with access to basic drinking water services in the intervention communes"</text>
  </threadedComment>
  <threadedComment ref="E47" dT="2024-02-29T17:40:23.05" personId="{C77C3A09-010B-41A9-8F17-A321D7218A0A}" id="{C4885F21-9C1B-42E1-AF72-01AD78890E76}">
    <text>To make the indicator SMARTer, I would suggest this wording instead: "# of healthcare facilities provided with access to basic drinking water services in the intervention communes"</text>
  </threadedComment>
  <threadedComment ref="E48" dT="2024-02-29T17:41:02.00" personId="{C77C3A09-010B-41A9-8F17-A321D7218A0A}" id="{72773989-3E9E-42B4-AED5-872EAE9D14D3}">
    <text>To make the indicator SMARTer, I would suggest this wording instead: "# of schools provided with access to basic sanitation services in the intervention communes"</text>
  </threadedComment>
  <threadedComment ref="E49" dT="2024-02-29T17:42:40.53" personId="{C77C3A09-010B-41A9-8F17-A321D7218A0A}" id="{0504A7A6-05BB-4407-BFF1-BF8DA3782452}">
    <text>To make the indicator SMARTer, I would suggest this wording instead: "# of healthcare facilities provided with access to basic sanitation services in the intervention communes"</text>
  </threadedComment>
  <threadedComment ref="E50" dT="2024-02-29T17:43:18.60" personId="{C77C3A09-010B-41A9-8F17-A321D7218A0A}" id="{980AF694-C6EF-40C8-9EA2-BDDE008AF71F}">
    <text>To make the indicator SMARTer, I would suggest this wording instead: "# of schools provided with access to basic hygiene services in the intervention communes"</text>
  </threadedComment>
  <threadedComment ref="E51" dT="2024-02-29T17:44:04.76" personId="{C77C3A09-010B-41A9-8F17-A321D7218A0A}" id="{4FDF8608-7E33-43FD-AE98-23F7FC521FD3}">
    <text>To make the indicator SMARTer, I would suggest this wording instead: "# of healthcare facilities provided with access to basic hygiene services in the intervention communes"</text>
  </threadedComment>
  <threadedComment ref="F53" dT="2023-08-14T17:25:28.42" personId="{E905DCE4-5CD5-4CD5-83E2-FED6E197B5BF}" id="{1824486F-13B1-4073-BAA2-69F6941C2A12}">
    <text>Need a definition for "Aligned with HANWASH Core Values" here</text>
  </threadedComment>
  <threadedComment ref="E54" dT="2024-02-29T18:07:11.08" personId="{C77C3A09-010B-41A9-8F17-A321D7218A0A}" id="{F8476FDD-5140-4A96-B8A8-B0181EACB128}">
    <text>I would add "...in alignment with HANWASH goal, outcomes and Commune Action Plan"</text>
  </threadedComment>
</ThreadedComments>
</file>

<file path=xl/threadedComments/threadedComment8.xml><?xml version="1.0" encoding="utf-8"?>
<ThreadedComments xmlns="http://schemas.microsoft.com/office/spreadsheetml/2018/threadedcomments" xmlns:x="http://schemas.openxmlformats.org/spreadsheetml/2006/main">
  <threadedComment ref="E15" dT="2023-08-22T19:52:01.99" personId="{E905DCE4-5CD5-4CD5-83E2-FED6E197B5BF}" id="{1D82C050-4FEE-4519-A073-DA4B42E22224}">
    <text>This is difficult because there will be a vast number of meetings held by implementing partners in communities. Should we limit the denominator here to "commune level events"?</text>
  </threadedComment>
  <threadedComment ref="E16" dT="2023-08-23T19:58:47.76" personId="{E905DCE4-5CD5-4CD5-83E2-FED6E197B5BF}" id="{73AE7F21-EED6-4404-9292-B21879F392E0}">
    <text>5-7 hrs per week per club</text>
  </threadedComment>
  <threadedComment ref="E16" dT="2023-08-23T20:00:49.81" personId="{E905DCE4-5CD5-4CD5-83E2-FED6E197B5BF}" id="{C094972A-4601-451F-875E-F332DB6E1B91}" parentId="{73AE7F21-EED6-4404-9292-B21879F392E0}">
    <text>Paid staff don't count towards volunteer hours.</text>
  </threadedComment>
  <threadedComment ref="E17" dT="2023-08-22T19:21:14.78" personId="{E905DCE4-5CD5-4CD5-83E2-FED6E197B5BF}" id="{FB7740A2-841F-4CF3-8D26-68A7FFACBB92}">
    <text>(from Mattson Proposal)</text>
  </threadedComment>
  <threadedComment ref="F17" dT="2023-08-23T17:31:42.78" personId="{E905DCE4-5CD5-4CD5-83E2-FED6E197B5BF}" id="{A578732C-E498-4594-87F8-EF9E415C67F5}">
    <text>How many are in the first cohort?</text>
  </threadedComment>
  <threadedComment ref="E18" dT="2023-08-23T20:02:03.94" personId="{E905DCE4-5CD5-4CD5-83E2-FED6E197B5BF}" id="{029EF659-7DD5-4D69-B21E-65BCD2747F77}">
    <text>Carribean countries?</text>
  </threadedComment>
  <threadedComment ref="F18" dT="2023-08-23T17:31:48.59" personId="{E905DCE4-5CD5-4CD5-83E2-FED6E197B5BF}" id="{753F2848-D89D-48FB-8E1C-454E29B15AF6}">
    <text>How many are in the first cohort?</text>
  </threadedComment>
  <threadedComment ref="E19" dT="2023-08-22T19:34:51.30" personId="{E905DCE4-5CD5-4CD5-83E2-FED6E197B5BF}" id="{CF8F093C-A0AC-40E0-99AA-998D4F73CDFC}">
    <text>It isn't feasible that the Commune Action Plan perfectly align with the Mattson Proposal plan, but a majority of activities should be aligned.</text>
  </threadedComment>
  <threadedComment ref="E21" dT="2023-10-03T18:56:22.51" personId="{E905DCE4-5CD5-4CD5-83E2-FED6E197B5BF}" id="{4FF960BB-F058-4553-8A77-C1B8FF21E157}">
    <text>One event per intervention commune per month</text>
  </threadedComment>
  <threadedComment ref="E28" dT="2023-08-22T19:22:17.67" personId="{E905DCE4-5CD5-4CD5-83E2-FED6E197B5BF}" id="{C245A08D-D096-43BF-A35B-8D40549185E7}">
    <text>Estimation based on functionality rate for Haiti Outreach (2005-2020)</text>
  </threadedComment>
  <threadedComment ref="E31" dT="2023-08-22T19:04:08.02" personId="{E905DCE4-5CD5-4CD5-83E2-FED6E197B5BF}" id="{61348F74-A08B-4449-8BBC-2E7F95A82C39}">
    <text>400 communities x 250 people per community</text>
  </threadedComment>
  <threadedComment ref="F31" dT="2023-08-23T17:19:13.72" personId="{E905DCE4-5CD5-4CD5-83E2-FED6E197B5BF}" id="{5E2E8C30-B8F6-4EB0-BEE4-C454670E1693}">
    <text>From "Performance objectives" document (10000 people)</text>
  </threadedComment>
  <threadedComment ref="N31" dT="2023-08-23T17:37:17.19" personId="{E905DCE4-5CD5-4CD5-83E2-FED6E197B5BF}" id="{1ABFB38B-6374-43E3-85CB-E010B1916D14}">
    <text>From performance objectives (50,000 people)</text>
  </threadedComment>
  <threadedComment ref="E32" dT="2023-08-22T19:22:48.55" personId="{E905DCE4-5CD5-4CD5-83E2-FED6E197B5BF}" id="{E7763A3C-94B0-43EF-8661-485C85B0BE4A}">
    <text>400 communities (from Mattson Proposal)</text>
  </threadedComment>
  <threadedComment ref="F32" dT="2023-08-23T17:36:16.57" personId="{E905DCE4-5CD5-4CD5-83E2-FED6E197B5BF}" id="{D2C23485-0E04-464C-BE41-3C729116DAC9}">
    <text>10,000 people / 250 people per community</text>
  </threadedComment>
  <threadedComment ref="N32" dT="2023-08-23T17:36:45.72" personId="{E905DCE4-5CD5-4CD5-83E2-FED6E197B5BF}" id="{E32216E5-0D38-4777-ADEC-BE14314A7BF6}">
    <text>50,000 people / 250 people per community</text>
  </threadedComment>
  <threadedComment ref="E33" dT="2023-08-22T19:26:03.54" personId="{E905DCE4-5CD5-4CD5-83E2-FED6E197B5BF}" id="{4542AF61-A270-4565-B8F6-4406FF971842}">
    <text>Maybe 1,000 HH/water system (highly dependent on feasibility studies)</text>
  </threadedComment>
  <threadedComment ref="E34" dT="2023-08-22T19:23:21.50" personId="{E905DCE4-5CD5-4CD5-83E2-FED6E197B5BF}" id="{DF1BC067-B4DB-499D-AE20-66EFE10C3300}">
    <text>5 systems (from Mattson Proposal)</text>
  </threadedComment>
  <threadedComment ref="E35" dT="2023-09-05T18:20:00.74" personId="{35F75D4D-09BF-4C2E-AAC0-C7CC36AC9B18}" id="{26853B9B-A8CB-4E89-877C-1279ECC94C3A}">
    <text>75% of completed communities. Need to estimate this from HO and UNICEF projects.</text>
  </threadedComment>
  <threadedComment ref="E37" dT="2023-08-22T19:28:08.71" personId="{E905DCE4-5CD5-4CD5-83E2-FED6E197B5BF}" id="{3C1056BF-B91B-4D19-89BB-EC7C5E1E5B6C}">
    <text>Need to discuss % treated in-situ and % offsite treatment. The latter can be either SOIL or STEB (Station de traitement d'eaus usées et boues).</text>
  </threadedComment>
  <threadedComment ref="E38" dT="2023-08-22T19:04:08.02" personId="{E905DCE4-5CD5-4CD5-83E2-FED6E197B5BF}" id="{028F94FE-C4C0-48E0-88FA-6F58C2E0E1FE}">
    <text>400 communities x 250 people per community</text>
  </threadedComment>
  <threadedComment ref="F38" dT="2023-08-23T17:19:19.24" personId="{E905DCE4-5CD5-4CD5-83E2-FED6E197B5BF}" id="{AD158F34-ED0B-41D1-93AA-8B4F0DDCE4B7}">
    <text>From "Performance objectives" document (10000 people)</text>
  </threadedComment>
  <threadedComment ref="E39" dT="2023-09-05T18:21:13.39" personId="{35F75D4D-09BF-4C2E-AAC0-C7CC36AC9B18}" id="{50F92C37-FB9E-4D94-9B2A-127AADE198E4}">
    <text>75% of completed communities x 400 completed communities</text>
  </threadedComment>
  <threadedComment ref="F39" dT="2023-08-23T17:26:23.88" personId="{E905DCE4-5CD5-4CD5-83E2-FED6E197B5BF}" id="{5DAB6ACB-DB5B-45AD-A78C-A9DEE0684E9D}">
    <text>2000 households / 5.5. people per household * 250 people per community</text>
  </threadedComment>
  <threadedComment ref="E40" dT="2023-08-29T21:31:14.47" personId="{35F75D4D-09BF-4C2E-AAC0-C7CC36AC9B18}" id="{8BAC1C53-D71C-4747-8F1F-8329D7008B29}">
    <text>75% x # verified ODF will maintain this status for at least 1 year.</text>
  </threadedComment>
  <threadedComment ref="E41" dT="2023-08-22T19:05:41.87" personId="{E905DCE4-5CD5-4CD5-83E2-FED6E197B5BF}" id="{7A195020-901C-4C6E-A261-252F8BC7258F}">
    <text>400 communities x 75% monitored for ODF</text>
  </threadedComment>
  <threadedComment ref="F41" dT="2023-08-23T17:27:28.99" personId="{E905DCE4-5CD5-4CD5-83E2-FED6E197B5BF}" id="{FBA50DDD-A433-42CA-BAD1-D0F087523EC6}">
    <text>75% of communities verified ODF</text>
  </threadedComment>
  <threadedComment ref="E42" dT="2023-09-05T18:22:47.47" personId="{35F75D4D-09BF-4C2E-AAC0-C7CC36AC9B18}" id="{CFCCC3E2-870A-4DDD-9723-DC473E078706}">
    <text>75% of people in completed communities x 400 completed communities x 250 people per community</text>
  </threadedComment>
  <threadedComment ref="E43" dT="2023-08-22T19:04:08.02" personId="{E905DCE4-5CD5-4CD5-83E2-FED6E197B5BF}" id="{3E37A3DB-E53B-4267-B24B-97E219E4653F}">
    <text>400 communities x 250 people per community</text>
  </threadedComment>
  <threadedComment ref="F43" dT="2023-08-23T17:19:25.57" personId="{E905DCE4-5CD5-4CD5-83E2-FED6E197B5BF}" id="{7CFDE204-BFCE-4949-B179-CBAAEA06B02B}">
    <text>From "Performance objectives" document (10000 people)</text>
  </threadedComment>
  <threadedComment ref="E44" dT="2023-08-29T19:57:01.35" personId="{35F75D4D-09BF-4C2E-AAC0-C7CC36AC9B18}" id="{7BCD3916-7882-4211-B9DF-4FD505377189}">
    <text>2 / commune x 5 communes</text>
  </threadedComment>
  <threadedComment ref="F44" dT="2023-08-23T17:31:55.50" personId="{E905DCE4-5CD5-4CD5-83E2-FED6E197B5BF}" id="{5FD52F25-34BB-4614-8B96-7C4EA02D4A8C}">
    <text>How many are in the first cohort?</text>
  </threadedComment>
  <threadedComment ref="E45" dT="2023-08-22T19:07:17.25" personId="{E905DCE4-5CD5-4CD5-83E2-FED6E197B5BF}" id="{08FFA051-3E1D-4B50-B13D-131DFC28E5F9}">
    <text>5 of the 7 communes (from Mattson Proposal)</text>
  </threadedComment>
  <threadedComment ref="F45" dT="2023-08-23T17:31:55.50" personId="{E905DCE4-5CD5-4CD5-83E2-FED6E197B5BF}" id="{FAFF8F24-1AF2-4BD2-A33A-980B650C305C}">
    <text>How many are in the first cohort?</text>
  </threadedComment>
  <threadedComment ref="E60" dT="2023-08-22T19:33:38.36" personId="{E905DCE4-5CD5-4CD5-83E2-FED6E197B5BF}" id="{B85F2671-FB25-473D-8E55-AC494C9DF47F}">
    <text>To be discussed</text>
  </threadedComment>
  <threadedComment ref="F60" dT="2023-08-23T17:31:55.50" personId="{E905DCE4-5CD5-4CD5-83E2-FED6E197B5BF}" id="{31CD4E84-BC0D-4802-8539-BFE7B0AA8C88}">
    <text>How many are in the first cohort?</text>
  </threadedComment>
</ThreadedComments>
</file>

<file path=xl/threadedComments/threadedComment9.xml><?xml version="1.0" encoding="utf-8"?>
<ThreadedComments xmlns="http://schemas.microsoft.com/office/spreadsheetml/2018/threadedcomments" xmlns:x="http://schemas.openxmlformats.org/spreadsheetml/2006/main">
  <threadedComment ref="D11" dT="2023-08-14T17:57:26.32" personId="{E905DCE4-5CD5-4CD5-83E2-FED6E197B5BF}" id="{5006B86A-D3F7-4466-83D3-AC811C9C835B}">
    <text>Uniquely identifies each Indicator. The numerical part specifies the objective that it is measuring, and the alphabetical part allows there to be multiple indicators for a single objective.</text>
  </threadedComment>
  <threadedComment ref="F11" dT="2023-08-14T17:55:59.14" personId="{E905DCE4-5CD5-4CD5-83E2-FED6E197B5BF}" id="{11F2396C-AA16-426E-9FE9-A58C00D1DD39}">
    <text>This column contains definitions of any key terms in the description.</text>
  </threadedComment>
  <threadedComment ref="G11" dT="2023-08-14T17:54:59.68" personId="{E905DCE4-5CD5-4CD5-83E2-FED6E197B5BF}" id="{269FE38C-08FD-40DE-9368-B051532D2BA2}">
    <text>The unit used to provide context to the indicator value. For indicators measured as a percent, the Units specifies the denominator of the percent calculation e.g. % of intervention water points = (numerical indicator value)/(number of intervention water points)</text>
  </threadedComment>
  <threadedComment ref="H11" dT="2023-08-14T17:51:25.49" personId="{E905DCE4-5CD5-4CD5-83E2-FED6E197B5BF}" id="{990371B2-69DD-4627-9BA7-E46BE0EC5652}">
    <text xml:space="preserve">In service: The data form has already been created and used previously. 
Needs mods: Some modification to the current data form may be necessary.
Needs training: All of the appropriate stakeholders have not been trained on its usage.
</text>
  </threadedComment>
  <threadedComment ref="J11" dT="2023-08-14T17:49:33.91" personId="{E905DCE4-5CD5-4CD5-83E2-FED6E197B5BF}" id="{B5E3B3E2-FA88-461E-A6DB-2D5DA39E4246}">
    <text>These are the factors by which an indicator can be grouped (aggregation) or split into (disaggregation).</text>
  </threadedComment>
  <threadedComment ref="R11" dT="2023-08-10T18:53:46.88" personId="{E905DCE4-5CD5-4CD5-83E2-FED6E197B5BF}" id="{E4BCC3F3-366B-4393-AEBD-25A491C6FC6B}">
    <text>The symbol "-", indicators that no new data collection is needed to validate this information.</text>
  </threadedComment>
  <threadedComment ref="D14" dT="2025-06-20T17:41:14.99" personId="{C77C3A09-010B-41A9-8F17-A321D7218A0A}" id="{E5FC11A6-80FA-4FD9-8FD7-C82CD0734439}">
    <text>Ask the RC President to share this data with us.</text>
  </threadedComment>
  <threadedComment ref="D15" dT="2025-06-20T17:41:23.78" personId="{C77C3A09-010B-41A9-8F17-A321D7218A0A}" id="{97D9B549-F556-42F3-B4AB-6D0690D7E6AC}">
    <text>Ask the RC President to share this data with us.</text>
  </threadedComment>
  <threadedComment ref="D16" dT="2025-06-20T17:41:32.51" personId="{C77C3A09-010B-41A9-8F17-A321D7218A0A}" id="{1F20C5F2-D8B5-4E9B-A8EA-17EA27E66870}">
    <text>Ask the RC President to share this data with us.</text>
  </threadedComment>
  <threadedComment ref="D17" dT="2025-06-20T17:50:39.37" personId="{C77C3A09-010B-41A9-8F17-A321D7218A0A}" id="{6D158410-E528-4C94-B789-3EDE5C0A71F5}">
    <text>Get regular (quarterly) reports from the Mayors on progress toward the implementation of the CAP.</text>
  </threadedComment>
  <threadedComment ref="E17" dT="2024-03-22T03:16:05.31" personId="{C77C3A09-010B-41A9-8F17-A321D7218A0A}" id="{9B78397F-090F-4742-B54F-5C06E81B9754}">
    <text>We replaced "implemented activities" with "approved interventions" to emphasize the fact that here we cannot talk about activities but interventions since in the CAP, intervention is used to described the different WASH products that need to be delivered at the commune level. "Approved" means that  the interventions on which HANWASH or partners are working on should be assigned by local authorities to reinforce local leadership.</text>
  </threadedComment>
  <threadedComment ref="D19" dT="2025-06-20T17:51:25.10" personId="{C77C3A09-010B-41A9-8F17-A321D7218A0A}" id="{C9CDDDCB-5C1C-41BD-B715-0548F39DE7CF}">
    <text>Get regular (quarterly) reports from the Mayors on progress towards this indicator.</text>
  </threadedComment>
  <threadedComment ref="D19" dT="2025-06-20T17:52:08.20" personId="{C77C3A09-010B-41A9-8F17-A321D7218A0A}" id="{88164FF2-BC47-448B-B4B4-724672CCFB5E}" parentId="{C9CDDDCB-5C1C-41BD-B715-0548F39DE7CF}">
    <text>Alex will create a form and train the Mayors on using it.</text>
  </threadedComment>
  <threadedComment ref="E20" dT="2024-03-22T03:18:33.48" personId="{C77C3A09-010B-41A9-8F17-A321D7218A0A}" id="{1D27168B-2B01-401D-BEE8-605FF10F9F8A}">
    <text>For more specificity, we added "...under HANWASH initiative…"</text>
  </threadedComment>
  <threadedComment ref="F23" dT="2024-03-06T05:04:49.53" personId="{C77C3A09-010B-41A9-8F17-A321D7218A0A}" id="{F5C4ACE0-CD9C-4F49-AC34-C34B7C3C302C}">
    <text xml:space="preserve">I believe it's important to measure this indicator to foster Service Providers' responsiveness. </text>
  </threadedComment>
  <threadedComment ref="F24" dT="2024-03-06T05:04:49.53" personId="{C77C3A09-010B-41A9-8F17-A321D7218A0A}" id="{9C324C3E-8641-444B-A375-29D197464D00}">
    <text xml:space="preserve">I believe it's important to measure this indicator to foster Service Providers' responsiveness. </text>
  </threadedComment>
  <threadedComment ref="E31" dT="2024-10-15T12:49:27.87" personId="{C77C3A09-010B-41A9-8F17-A321D7218A0A}" id="{71BBCCDE-E3F8-4EC1-81B9-E828E1907A2A}">
    <text>Added “or a budget with surplus” to make the indicator capture the whole picture.</text>
  </threadedComment>
  <threadedComment ref="E32" dT="2024-02-29T16:13:04.80" personId="{E8138FA0-0E04-4F22-90D6-0509B80D4718}" id="{14B42DDF-18DB-43FE-AEAA-746F6C8BEDD4}">
    <text xml:space="preserve">For more specificity in the indicator wording, I would suggest: "# of people in intervention communes with access to basic drinking water service through community managed water points" </text>
  </threadedComment>
  <threadedComment ref="E33" dT="2024-02-29T16:18:53.02" personId="{C77C3A09-010B-41A9-8F17-A321D7218A0A}" id="{E1667F62-641E-4A83-B639-10B99D16C6EC}">
    <text xml:space="preserve">For more specificity in the indicator wording, I would suggest: "# of people in intervention communes with access to safely managed drinking water service through professionally operated piped water systems" </text>
  </threadedComment>
  <threadedComment ref="E37" dT="2024-02-29T16:49:52.82" personId="{C77C3A09-010B-41A9-8F17-A321D7218A0A}" id="{29B33CCF-9DA1-44DE-8672-4DFD2E336566}">
    <text xml:space="preserve"> added "...in the intervention communities" for more specificity. </text>
  </threadedComment>
  <threadedComment ref="E39" dT="2024-02-29T17:28:09.95" personId="{C77C3A09-010B-41A9-8F17-A321D7218A0A}" id="{5DEF9F2D-95EC-489D-A2BE-56EA3E5B6640}">
    <text>I replaced "people" by "population"</text>
  </threadedComment>
  <threadedComment ref="C43" dT="2025-06-30T16:19:54.95" personId="{C77C3A09-010B-41A9-8F17-A321D7218A0A}" id="{38521EF7-D530-4C7B-AEBB-CD0833EBD77C}">
    <text>Who will fund those public Water infrastructures? Which management structures can be established to make those public (schools and healthcare facilities) Water infrastructures sustainable? Is it realistic to say that the Households will pay a surplus fee to cover operational cost for schools and Healthcare facilities water infrastructures?</text>
  </threadedComment>
</ThreadedComments>
</file>

<file path=xl/threadedComments/threadedComment10.xml><?xml version="1.0" encoding="utf-8"?>
<ThreadedComments xmlns="http://schemas.microsoft.com/office/spreadsheetml/2018/threadedcomments" xmlns:x="http://schemas.openxmlformats.org/spreadsheetml/2006/main">
  <threadedComment ref="D11" dT="2023-08-14T17:57:26.32" personId="{E905DCE4-5CD5-4CD5-83E2-FED6E197B5BF}" id="{57F2F40D-73E0-4E8F-ADAA-99021A66D51E}">
    <text>Uniquely identifies each Indicator. The numerical part specifies the objective that it is measuring, and the alphabetical part allows there to be multiple indicators for a single objective.</text>
  </threadedComment>
  <threadedComment ref="F11" dT="2023-08-14T17:55:59.14" personId="{E905DCE4-5CD5-4CD5-83E2-FED6E197B5BF}" id="{2395C9E9-257B-452C-9488-ED0531B89D5C}">
    <text>This column contains definitions of any key terms in the description.</text>
  </threadedComment>
  <threadedComment ref="G11" dT="2023-08-14T17:54:59.68" personId="{E905DCE4-5CD5-4CD5-83E2-FED6E197B5BF}" id="{AE4BE67B-3C25-4B2B-B15D-E40AFCC5F6D7}">
    <text>The unit used to provide context to the indicator value. For indicators measured as a percent, the Units specifies the denominator of the percent calculation e.g. % of intervention water points = (numerical indicator value)/(number of intervention water points)</text>
  </threadedComment>
  <threadedComment ref="H11" dT="2023-08-14T17:51:25.49" personId="{E905DCE4-5CD5-4CD5-83E2-FED6E197B5BF}" id="{4D724C55-9737-4705-9A46-4B0268479DCC}">
    <text xml:space="preserve">In service: The data form has already been created and used previously. 
Needs mods: Some modification to the current data form may be necessary.
Needs training: All of the appropriate stakeholders have not been trained on its usage.
</text>
  </threadedComment>
  <threadedComment ref="J11" dT="2023-08-14T17:49:33.91" personId="{E905DCE4-5CD5-4CD5-83E2-FED6E197B5BF}" id="{ACA43BE4-D442-46A6-AF11-96DD958DA20F}">
    <text>These are the factors by which an indicator can be grouped (aggregation) or split into (disaggregation).</text>
  </threadedComment>
  <threadedComment ref="R11" dT="2023-08-10T18:53:46.88" personId="{E905DCE4-5CD5-4CD5-83E2-FED6E197B5BF}" id="{53318852-6D56-4CBE-BB39-CC52763CA32D}">
    <text>The symbol "-", indicators that no new data collection is needed to validate this information.</text>
  </threadedComment>
  <threadedComment ref="D14" dT="2025-06-20T17:41:14.99" personId="{C77C3A09-010B-41A9-8F17-A321D7218A0A}" id="{58EE0FCA-C07A-42BE-ACEC-5BD1A43ADE92}">
    <text>Ask the RC President to share this data with us.</text>
  </threadedComment>
  <threadedComment ref="D15" dT="2025-06-20T17:41:23.78" personId="{C77C3A09-010B-41A9-8F17-A321D7218A0A}" id="{4244F830-67FB-40CC-8D76-5AFA18CC6460}">
    <text>Ask the RC President to share this data with us.</text>
  </threadedComment>
  <threadedComment ref="D16" dT="2025-06-20T17:41:32.51" personId="{C77C3A09-010B-41A9-8F17-A321D7218A0A}" id="{D46F6830-06AF-4E9B-BB09-F513DD19C89C}">
    <text>Ask the RC President to share this data with us.</text>
  </threadedComment>
  <threadedComment ref="D17" dT="2025-06-20T17:50:39.37" personId="{C77C3A09-010B-41A9-8F17-A321D7218A0A}" id="{ADE65BF0-553C-47C6-AF6F-B5386E9D650C}">
    <text>Get regular (quarterly) reports from the Mayors on progress toward the implementation of the CAP.</text>
  </threadedComment>
  <threadedComment ref="E17" dT="2024-03-22T03:16:05.31" personId="{C77C3A09-010B-41A9-8F17-A321D7218A0A}" id="{4190763F-BFF9-4408-88B4-656AEA3CA4A5}">
    <text>We replaced "implemented activities" with "approved interventions" to emphasize the fact that here we cannot talk about activities but interventions since in the CAP, intervention is used to described the different WASH products that need to be delivered at the commune level. "Approved" means that  the interventions on which HANWASH or partners are working on should be assigned by local authorities to reinforce local leadership.</text>
  </threadedComment>
  <threadedComment ref="D19" dT="2025-06-20T17:51:25.10" personId="{C77C3A09-010B-41A9-8F17-A321D7218A0A}" id="{66501159-B26C-4DA3-8E63-BC00C84A8309}">
    <text>Get regular (quarterly) reports from the Mayors on progress towards this indicator.</text>
  </threadedComment>
  <threadedComment ref="D19" dT="2025-06-20T17:52:08.20" personId="{C77C3A09-010B-41A9-8F17-A321D7218A0A}" id="{BB646455-F293-438B-81C4-4A5965BFED97}" parentId="{66501159-B26C-4DA3-8E63-BC00C84A8309}">
    <text>Alex will create a form and train the Mayors on using it.</text>
  </threadedComment>
  <threadedComment ref="E20" dT="2024-03-22T03:18:33.48" personId="{C77C3A09-010B-41A9-8F17-A321D7218A0A}" id="{C0736B27-9B5F-4D4A-9F38-571ACA2D2EC3}">
    <text>For more specificity, we added "...under HANWASH initiative…"</text>
  </threadedComment>
  <threadedComment ref="F23" dT="2024-03-06T05:04:49.53" personId="{C77C3A09-010B-41A9-8F17-A321D7218A0A}" id="{1B2D37A0-EC05-4A56-9885-9326B4A53D50}">
    <text xml:space="preserve">I believe it's important to measure this indicator to foster Service Providers' responsiveness. </text>
  </threadedComment>
  <threadedComment ref="F24" dT="2024-03-06T05:04:49.53" personId="{C77C3A09-010B-41A9-8F17-A321D7218A0A}" id="{24521260-4324-4D8D-B953-735DC4D78329}">
    <text xml:space="preserve">I believe it's important to measure this indicator to foster Service Providers' responsiveness. </text>
  </threadedComment>
  <threadedComment ref="E31" dT="2024-10-15T12:49:27.87" personId="{C77C3A09-010B-41A9-8F17-A321D7218A0A}" id="{519FBD6B-5ACE-475F-853B-A2302A67E88B}">
    <text>Added “or a budget with surplus” to make the indicator capture the whole picture.</text>
  </threadedComment>
  <threadedComment ref="E32" dT="2024-02-29T16:13:04.80" personId="{E8138FA0-0E04-4F22-90D6-0509B80D4718}" id="{8BB900B5-90B1-4475-9380-E5E8019F384B}">
    <text xml:space="preserve">For more specificity in the indicator wording, I would suggest: "# of people in intervention communes with access to basic drinking water service through community managed water points" </text>
  </threadedComment>
  <threadedComment ref="E33" dT="2024-02-29T16:18:53.02" personId="{C77C3A09-010B-41A9-8F17-A321D7218A0A}" id="{A9723640-AD47-4954-80D1-7410DA306CEE}">
    <text xml:space="preserve">For more specificity in the indicator wording, I would suggest: "# of people in intervention communes with access to safely managed drinking water service through professionally operated piped water systems" </text>
  </threadedComment>
  <threadedComment ref="E37" dT="2024-02-29T16:49:52.82" personId="{C77C3A09-010B-41A9-8F17-A321D7218A0A}" id="{B8C4B537-A597-4C92-BB05-70610F8FA6DD}">
    <text xml:space="preserve"> added "...in the intervention communities" for more specificity. </text>
  </threadedComment>
  <threadedComment ref="E39" dT="2024-02-29T17:28:09.95" personId="{C77C3A09-010B-41A9-8F17-A321D7218A0A}" id="{8CED7A75-E775-4C03-B4F0-E5541A8EA939}">
    <text>I replaced "people" by "population"</text>
  </threadedComment>
  <threadedComment ref="C43" dT="2025-06-30T16:19:54.95" personId="{C77C3A09-010B-41A9-8F17-A321D7218A0A}" id="{2AF8F92B-7B6C-4C68-B119-BC8FFD2B2F4E}">
    <text>Who will fund those public Water infrastructures? Which management structures can be established to make those public (schools and healthcare facilities) Water infrastructures sustainable? Is it realistic to say that the Households will pay a surplus fee to cover operational cost for schools and Healthcare facilities water infrastructures?</text>
  </threadedComment>
</ThreadedComments>
</file>

<file path=xl/threadedComments/threadedComment11.xml><?xml version="1.0" encoding="utf-8"?>
<ThreadedComments xmlns="http://schemas.microsoft.com/office/spreadsheetml/2018/threadedcomments" xmlns:x="http://schemas.openxmlformats.org/spreadsheetml/2006/main">
  <threadedComment ref="D11" dT="2023-08-14T17:57:26.32" personId="{E905DCE4-5CD5-4CD5-83E2-FED6E197B5BF}" id="{C8CB361B-A42C-4207-8FAC-8BFAD1826145}">
    <text>Uniquely identifies each Indicator. The numerical part specifies the objective that it is measuring, and the alphabetical part allows there to be multiple indicators for a single objective.</text>
  </threadedComment>
  <threadedComment ref="F11" dT="2023-08-14T17:55:59.14" personId="{E905DCE4-5CD5-4CD5-83E2-FED6E197B5BF}" id="{7D3367ED-7CFF-423F-AB17-13A29274B320}">
    <text>This column contains definitions of any key terms in the description.</text>
  </threadedComment>
  <threadedComment ref="G11" dT="2023-08-14T17:54:59.68" personId="{E905DCE4-5CD5-4CD5-83E2-FED6E197B5BF}" id="{E195A7E9-B52A-4060-99EB-25CB2D065A69}">
    <text>The unit used to provide context to the indicator value. For indicators measured as a percent, the Units specifies the denominator of the percent calculation e.g. % of intervention water points = (numerical indicator value)/(number of intervention water points)</text>
  </threadedComment>
  <threadedComment ref="H11" dT="2023-08-14T17:51:25.49" personId="{E905DCE4-5CD5-4CD5-83E2-FED6E197B5BF}" id="{CA45B1DE-12CB-4CF9-814E-BE7762BA7548}">
    <text xml:space="preserve">In service: The data form has already been created and used previously. 
Needs mods: Some modification to the current data form may be necessary.
Needs training: All of the appropriate stakeholders have not been trained on its usage.
</text>
  </threadedComment>
  <threadedComment ref="J11" dT="2023-08-14T17:49:33.91" personId="{E905DCE4-5CD5-4CD5-83E2-FED6E197B5BF}" id="{B455841E-46AB-4DB4-A79E-CDFAAE52466B}">
    <text>These are the factors by which an indicator can be grouped (aggregation) or split into (disaggregation).</text>
  </threadedComment>
  <threadedComment ref="R11" dT="2023-08-10T18:53:46.88" personId="{E905DCE4-5CD5-4CD5-83E2-FED6E197B5BF}" id="{3CB57F2B-729D-403E-AD16-0859690A5A70}">
    <text>The symbol "-", indicators that no new data collection is needed to validate this information.</text>
  </threadedComment>
  <threadedComment ref="D14" dT="2025-06-20T17:41:14.99" personId="{C77C3A09-010B-41A9-8F17-A321D7218A0A}" id="{EE93F749-3833-4328-935D-03483901A3FB}">
    <text>Ask the RC President to share this data with us.</text>
  </threadedComment>
  <threadedComment ref="D15" dT="2025-06-20T17:41:23.78" personId="{C77C3A09-010B-41A9-8F17-A321D7218A0A}" id="{79057732-62A2-4CE9-B77D-0FC0760F1132}">
    <text>Ask the RC President to share this data with us.</text>
  </threadedComment>
  <threadedComment ref="D16" dT="2025-06-20T17:41:32.51" personId="{C77C3A09-010B-41A9-8F17-A321D7218A0A}" id="{1ADF5211-8CE7-4CBF-A442-720838DCD716}">
    <text>Ask the RC President to share this data with us.</text>
  </threadedComment>
  <threadedComment ref="D17" dT="2025-06-20T17:50:39.37" personId="{C77C3A09-010B-41A9-8F17-A321D7218A0A}" id="{331A30D4-9CC6-456A-9A88-1C583DE641E1}">
    <text>Get regular (quarterly) reports from the Mayors on progress toward the implementation of the CAP.</text>
  </threadedComment>
  <threadedComment ref="E17" dT="2024-03-22T03:16:05.31" personId="{C77C3A09-010B-41A9-8F17-A321D7218A0A}" id="{9FE5097D-4EB6-48AA-93AF-04367E221075}">
    <text>We replaced "implemented activities" with "approved interventions" to emphasize the fact that here we cannot talk about activities but interventions since in the CAP, intervention is used to described the different WASH products that need to be delivered at the commune level. "Approved" means that  the interventions on which HANWASH or partners are working on should be assigned by local authorities to reinforce local leadership.</text>
  </threadedComment>
  <threadedComment ref="D19" dT="2025-06-20T17:51:25.10" personId="{C77C3A09-010B-41A9-8F17-A321D7218A0A}" id="{2088EDA0-BBC9-46D3-A9E2-26B99AAEFF2B}">
    <text>Get regular (quarterly) reports from the Mayors on progress towards this indicator.</text>
  </threadedComment>
  <threadedComment ref="D19" dT="2025-06-20T17:52:08.20" personId="{C77C3A09-010B-41A9-8F17-A321D7218A0A}" id="{92DE938C-7F90-4EED-B58B-1EBA1ADA797F}" parentId="{2088EDA0-BBC9-46D3-A9E2-26B99AAEFF2B}">
    <text>Alex will create a form and train the Mayors on using it.</text>
  </threadedComment>
  <threadedComment ref="E20" dT="2024-03-22T03:18:33.48" personId="{C77C3A09-010B-41A9-8F17-A321D7218A0A}" id="{EE77DC46-580E-48D9-BCF2-10180B851596}">
    <text>For more specificity, we added "...under HANWASH initiative…"</text>
  </threadedComment>
  <threadedComment ref="F23" dT="2024-03-06T05:04:49.53" personId="{C77C3A09-010B-41A9-8F17-A321D7218A0A}" id="{E3DA670B-030B-4A56-A712-1C19BEC20949}">
    <text xml:space="preserve">I believe it's important to measure this indicator to foster Service Providers' responsiveness. </text>
  </threadedComment>
  <threadedComment ref="F24" dT="2024-03-06T05:04:49.53" personId="{C77C3A09-010B-41A9-8F17-A321D7218A0A}" id="{A90DE91C-B071-4C2B-AB15-B46B83C1FE54}">
    <text xml:space="preserve">I believe it's important to measure this indicator to foster Service Providers' responsiveness. </text>
  </threadedComment>
  <threadedComment ref="E31" dT="2024-10-15T12:49:27.87" personId="{C77C3A09-010B-41A9-8F17-A321D7218A0A}" id="{3BCF50F8-A909-4628-B1D4-E2D10C4961F8}">
    <text>Added “or a budget with surplus” to make the indicator capture the whole picture.</text>
  </threadedComment>
  <threadedComment ref="E32" dT="2024-02-29T16:13:04.80" personId="{E8138FA0-0E04-4F22-90D6-0509B80D4718}" id="{6ADC3B83-15DA-44B8-8B80-F73911884D82}">
    <text xml:space="preserve">For more specificity in the indicator wording, I would suggest: "# of people in intervention communes with access to basic drinking water service through community managed water points" </text>
  </threadedComment>
  <threadedComment ref="E33" dT="2024-02-29T16:18:53.02" personId="{C77C3A09-010B-41A9-8F17-A321D7218A0A}" id="{519D959D-46F6-47F6-8F98-5D4D1DA7118A}">
    <text xml:space="preserve">For more specificity in the indicator wording, I would suggest: "# of people in intervention communes with access to safely managed drinking water service through professionally operated piped water systems" </text>
  </threadedComment>
  <threadedComment ref="E37" dT="2024-02-29T16:49:52.82" personId="{C77C3A09-010B-41A9-8F17-A321D7218A0A}" id="{683C43A0-3651-4960-92F3-D74B145A75CA}">
    <text xml:space="preserve"> added "...in the intervention communities" for more specificity. </text>
  </threadedComment>
  <threadedComment ref="E39" dT="2024-02-29T17:28:09.95" personId="{C77C3A09-010B-41A9-8F17-A321D7218A0A}" id="{CFAFC523-E114-4F25-8B4B-1CB715813755}">
    <text>I replaced "people" by "population"</text>
  </threadedComment>
  <threadedComment ref="C43" dT="2025-06-30T16:19:54.95" personId="{C77C3A09-010B-41A9-8F17-A321D7218A0A}" id="{49DACF3D-0572-460C-ACB7-D8AD2BD841B9}">
    <text>Who will fund those public Water infrastructures? Which management structures can be established to make those public (schools and healthcare facilities) Water infrastructures sustainable? Is it realistic to say that the Households will pay a surplus fee to cover operational cost for schools and Healthcare facilities water infrastructures?</text>
  </threadedComment>
</ThreadedComments>
</file>

<file path=xl/threadedComments/threadedComment12.xml><?xml version="1.0" encoding="utf-8"?>
<ThreadedComments xmlns="http://schemas.microsoft.com/office/spreadsheetml/2018/threadedcomments" xmlns:x="http://schemas.openxmlformats.org/spreadsheetml/2006/main">
  <threadedComment ref="D11" dT="2023-08-14T17:57:26.32" personId="{E905DCE4-5CD5-4CD5-83E2-FED6E197B5BF}" id="{7301982F-7F8C-46B9-8856-D8B3425BA3ED}">
    <text>Uniquely identifies each Indicator. The numerical part specifies the objective that it is measuring, and the alphabetical part allows there to be multiple indicators for a single objective.</text>
  </threadedComment>
  <threadedComment ref="F11" dT="2023-08-14T17:55:59.14" personId="{E905DCE4-5CD5-4CD5-83E2-FED6E197B5BF}" id="{7E03B9E5-19C8-4195-8F14-A2BE16D96552}">
    <text>This column contains definitions of any key terms in the description.</text>
  </threadedComment>
  <threadedComment ref="G11" dT="2023-08-14T17:54:59.68" personId="{E905DCE4-5CD5-4CD5-83E2-FED6E197B5BF}" id="{7B49C97A-A9E7-4305-91A8-F1F26CBA4E17}">
    <text>The unit used to provide context to the indicator value. For indicators measured as a percent, the Units specifies the denominator of the percent calculation e.g. % of intervention water points = (numerical indicator value)/(number of intervention water points)</text>
  </threadedComment>
  <threadedComment ref="H11" dT="2023-08-14T17:51:25.49" personId="{E905DCE4-5CD5-4CD5-83E2-FED6E197B5BF}" id="{921F6F48-A89B-4835-8871-B9F5629D9BB2}">
    <text xml:space="preserve">In service: The data form has already been created and used previously. 
Needs mods: Some modification to the current data form may be necessary.
Needs training: All of the appropriate stakeholders have not been trained on its usage.
</text>
  </threadedComment>
  <threadedComment ref="J11" dT="2023-08-14T17:49:33.91" personId="{E905DCE4-5CD5-4CD5-83E2-FED6E197B5BF}" id="{CE50B4F3-D0ED-414B-9E9C-673F17C2A81C}">
    <text>These are the factors by which an indicator can be grouped (aggregation) or split into (disaggregation).</text>
  </threadedComment>
  <threadedComment ref="R11" dT="2023-08-10T18:53:46.88" personId="{E905DCE4-5CD5-4CD5-83E2-FED6E197B5BF}" id="{D68FE5CB-76F8-43FA-905D-89B27CD9F992}">
    <text>The symbol "-", indicators that no new data collection is needed to validate this information.</text>
  </threadedComment>
  <threadedComment ref="D14" dT="2025-06-20T17:41:14.99" personId="{C77C3A09-010B-41A9-8F17-A321D7218A0A}" id="{CDC78242-1E2B-4582-9787-7432BCE28330}">
    <text>Ask the RC President to share this data with us.</text>
  </threadedComment>
  <threadedComment ref="D15" dT="2025-06-20T17:41:23.78" personId="{C77C3A09-010B-41A9-8F17-A321D7218A0A}" id="{8BEC7F7D-F0A8-46C5-8B2D-78D39A7C8FE5}">
    <text>Ask the RC President to share this data with us.</text>
  </threadedComment>
  <threadedComment ref="D16" dT="2025-06-20T17:41:32.51" personId="{C77C3A09-010B-41A9-8F17-A321D7218A0A}" id="{AC61196E-3E1F-4BAB-B381-815D308DC9AF}">
    <text>Ask the RC President to share this data with us.</text>
  </threadedComment>
  <threadedComment ref="D17" dT="2025-06-20T17:50:39.37" personId="{C77C3A09-010B-41A9-8F17-A321D7218A0A}" id="{7E2507F9-77D8-4DE9-9699-517759DE7ADA}">
    <text>Get regular (quarterly) reports from the Mayors on progress toward the implementation of the CAP.</text>
  </threadedComment>
  <threadedComment ref="E17" dT="2024-03-22T03:16:05.31" personId="{C77C3A09-010B-41A9-8F17-A321D7218A0A}" id="{C854197C-59F3-4431-ABA2-6BAA569C5451}">
    <text>We replaced "implemented activities" with "approved interventions" to emphasize the fact that here we cannot talk about activities but interventions since in the CAP, intervention is used to described the different WASH products that need to be delivered at the commune level. "Approved" means that  the interventions on which HANWASH or partners are working on should be assigned by local authorities to reinforce local leadership.</text>
  </threadedComment>
  <threadedComment ref="D19" dT="2025-06-20T17:51:25.10" personId="{C77C3A09-010B-41A9-8F17-A321D7218A0A}" id="{68937DA2-2085-4B4C-AB16-2B85A3A4CF57}">
    <text>Get regular (quarterly) reports from the Mayors on progress towards this indicator.</text>
  </threadedComment>
  <threadedComment ref="D19" dT="2025-06-20T17:52:08.20" personId="{C77C3A09-010B-41A9-8F17-A321D7218A0A}" id="{D4CF681E-AC37-430B-8A4D-68A6E926C504}" parentId="{68937DA2-2085-4B4C-AB16-2B85A3A4CF57}">
    <text>Alex will create a form and train the Mayors on using it.</text>
  </threadedComment>
  <threadedComment ref="E20" dT="2024-03-22T03:18:33.48" personId="{C77C3A09-010B-41A9-8F17-A321D7218A0A}" id="{BDB32A69-54F0-40B9-BD17-A54C182140C9}">
    <text>For more specificity, we added "...under HANWASH initiative…"</text>
  </threadedComment>
  <threadedComment ref="F23" dT="2024-03-06T05:04:49.53" personId="{C77C3A09-010B-41A9-8F17-A321D7218A0A}" id="{676594EE-128F-4767-AB02-D7A3158D3BE8}">
    <text xml:space="preserve">I believe it's important to measure this indicator to foster Service Providers' responsiveness. </text>
  </threadedComment>
  <threadedComment ref="F24" dT="2024-03-06T05:04:49.53" personId="{C77C3A09-010B-41A9-8F17-A321D7218A0A}" id="{9134F8D4-2C08-40A5-8D53-5F5C031AAC8B}">
    <text xml:space="preserve">I believe it's important to measure this indicator to foster Service Providers' responsiveness. </text>
  </threadedComment>
  <threadedComment ref="E31" dT="2024-10-15T12:49:27.87" personId="{C77C3A09-010B-41A9-8F17-A321D7218A0A}" id="{1B5F59C7-B65B-47F0-8BC9-EEE02A946D12}">
    <text>Added “or a budget with surplus” to make the indicator capture the whole picture.</text>
  </threadedComment>
  <threadedComment ref="E32" dT="2024-02-29T16:13:04.80" personId="{E8138FA0-0E04-4F22-90D6-0509B80D4718}" id="{F11450A9-6265-4D7B-9EC1-BCA523CE4CB1}">
    <text xml:space="preserve">For more specificity in the indicator wording, I would suggest: "# of people in intervention communes with access to basic drinking water service through community managed water points" </text>
  </threadedComment>
  <threadedComment ref="E33" dT="2024-02-29T16:18:53.02" personId="{C77C3A09-010B-41A9-8F17-A321D7218A0A}" id="{74A6832D-1A54-4F39-93AA-E86513D0BBD0}">
    <text xml:space="preserve">For more specificity in the indicator wording, I would suggest: "# of people in intervention communes with access to safely managed drinking water service through professionally operated piped water systems" </text>
  </threadedComment>
  <threadedComment ref="E37" dT="2024-02-29T16:49:52.82" personId="{C77C3A09-010B-41A9-8F17-A321D7218A0A}" id="{63280546-71C7-46F0-9515-F883DA38DB4B}">
    <text xml:space="preserve"> added "...in the intervention communities" for more specificity. </text>
  </threadedComment>
  <threadedComment ref="E39" dT="2024-02-29T17:28:09.95" personId="{C77C3A09-010B-41A9-8F17-A321D7218A0A}" id="{0EA18E9E-1EC9-4EE2-88C9-E738F928792A}">
    <text>I replaced "people" by "population"</text>
  </threadedComment>
  <threadedComment ref="C43" dT="2025-06-30T16:19:54.95" personId="{C77C3A09-010B-41A9-8F17-A321D7218A0A}" id="{660C972F-8BA9-405F-A715-FD57899BFF01}">
    <text>Who will fund those public Water infrastructures? Which management structures can be established to make those public (schools and healthcare facilities) Water infrastructures sustainable? Is it realistic to say that the Households will pay a surplus fee to cover operational cost for schools and Healthcare facilities water infrastructures?</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hanwash.sharepoint.com/:p:/s/MattsonProposal/EVtQM_BzdaVPvkaO39r1hcoBf8bMqmxIf35QW_Yb8CCzbw?e=yh1c9K" TargetMode="Externa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6" Type="http://schemas.openxmlformats.org/officeDocument/2006/relationships/hyperlink" Target="https://portal.mwater.co/" TargetMode="External"/><Relationship Id="rId21" Type="http://schemas.openxmlformats.org/officeDocument/2006/relationships/hyperlink" Target="https://portal.mwater.co/" TargetMode="External"/><Relationship Id="rId42" Type="http://schemas.openxmlformats.org/officeDocument/2006/relationships/hyperlink" Target="https://portal.mwater.co/" TargetMode="External"/><Relationship Id="rId47" Type="http://schemas.openxmlformats.org/officeDocument/2006/relationships/hyperlink" Target="https://portal.mwater.co/" TargetMode="External"/><Relationship Id="rId63" Type="http://schemas.openxmlformats.org/officeDocument/2006/relationships/hyperlink" Target="https://portal.mwater.co/" TargetMode="External"/><Relationship Id="rId68" Type="http://schemas.openxmlformats.org/officeDocument/2006/relationships/hyperlink" Target="https://portal.mwater.co/" TargetMode="External"/><Relationship Id="rId84" Type="http://schemas.openxmlformats.org/officeDocument/2006/relationships/hyperlink" Target="https://portal.mwater.co/" TargetMode="External"/><Relationship Id="rId89" Type="http://schemas.openxmlformats.org/officeDocument/2006/relationships/hyperlink" Target="https://portal.mwater.co/" TargetMode="External"/><Relationship Id="rId112" Type="http://schemas.openxmlformats.org/officeDocument/2006/relationships/vmlDrawing" Target="../drawings/vmlDrawing2.vml"/><Relationship Id="rId16" Type="http://schemas.openxmlformats.org/officeDocument/2006/relationships/hyperlink" Target="https://portal.mwater.co/" TargetMode="External"/><Relationship Id="rId107" Type="http://schemas.openxmlformats.org/officeDocument/2006/relationships/hyperlink" Target="https://portal.mwater.co/" TargetMode="External"/><Relationship Id="rId11" Type="http://schemas.openxmlformats.org/officeDocument/2006/relationships/hyperlink" Target="https://portal.mwater.co/" TargetMode="External"/><Relationship Id="rId32" Type="http://schemas.openxmlformats.org/officeDocument/2006/relationships/hyperlink" Target="https://portal.mwater.co/" TargetMode="External"/><Relationship Id="rId37" Type="http://schemas.openxmlformats.org/officeDocument/2006/relationships/hyperlink" Target="https://portal.mwater.co/" TargetMode="External"/><Relationship Id="rId53" Type="http://schemas.openxmlformats.org/officeDocument/2006/relationships/hyperlink" Target="https://portal.mwater.co/" TargetMode="External"/><Relationship Id="rId58" Type="http://schemas.openxmlformats.org/officeDocument/2006/relationships/hyperlink" Target="https://portal.mwater.co/" TargetMode="External"/><Relationship Id="rId74" Type="http://schemas.openxmlformats.org/officeDocument/2006/relationships/hyperlink" Target="https://portal.mwater.co/" TargetMode="External"/><Relationship Id="rId79" Type="http://schemas.openxmlformats.org/officeDocument/2006/relationships/hyperlink" Target="https://portal.mwater.co/" TargetMode="External"/><Relationship Id="rId102" Type="http://schemas.openxmlformats.org/officeDocument/2006/relationships/hyperlink" Target="https://portal.mwater.co/" TargetMode="External"/><Relationship Id="rId5" Type="http://schemas.openxmlformats.org/officeDocument/2006/relationships/hyperlink" Target="https://portal.mwater.co/" TargetMode="External"/><Relationship Id="rId90" Type="http://schemas.openxmlformats.org/officeDocument/2006/relationships/hyperlink" Target="https://portal.mwater.co/" TargetMode="External"/><Relationship Id="rId95" Type="http://schemas.openxmlformats.org/officeDocument/2006/relationships/hyperlink" Target="https://portal.mwater.co/" TargetMode="External"/><Relationship Id="rId22" Type="http://schemas.openxmlformats.org/officeDocument/2006/relationships/hyperlink" Target="https://portal.mwater.co/" TargetMode="External"/><Relationship Id="rId27" Type="http://schemas.openxmlformats.org/officeDocument/2006/relationships/hyperlink" Target="https://portal.mwater.co/" TargetMode="External"/><Relationship Id="rId43" Type="http://schemas.openxmlformats.org/officeDocument/2006/relationships/hyperlink" Target="https://portal.mwater.co/" TargetMode="External"/><Relationship Id="rId48" Type="http://schemas.openxmlformats.org/officeDocument/2006/relationships/hyperlink" Target="https://portal.mwater.co/" TargetMode="External"/><Relationship Id="rId64" Type="http://schemas.openxmlformats.org/officeDocument/2006/relationships/hyperlink" Target="https://portal.mwater.co/" TargetMode="External"/><Relationship Id="rId69" Type="http://schemas.openxmlformats.org/officeDocument/2006/relationships/hyperlink" Target="https://portal.mwater.co/" TargetMode="External"/><Relationship Id="rId113" Type="http://schemas.openxmlformats.org/officeDocument/2006/relationships/comments" Target="../comments2.xml"/><Relationship Id="rId80" Type="http://schemas.openxmlformats.org/officeDocument/2006/relationships/hyperlink" Target="https://portal.mwater.co/" TargetMode="External"/><Relationship Id="rId85" Type="http://schemas.openxmlformats.org/officeDocument/2006/relationships/hyperlink" Target="https://portal.mwater.co/" TargetMode="External"/><Relationship Id="rId12" Type="http://schemas.openxmlformats.org/officeDocument/2006/relationships/hyperlink" Target="https://portal.mwater.co/" TargetMode="External"/><Relationship Id="rId17" Type="http://schemas.openxmlformats.org/officeDocument/2006/relationships/hyperlink" Target="https://portal.mwater.co/" TargetMode="External"/><Relationship Id="rId33" Type="http://schemas.openxmlformats.org/officeDocument/2006/relationships/hyperlink" Target="https://portal.mwater.co/" TargetMode="External"/><Relationship Id="rId38" Type="http://schemas.openxmlformats.org/officeDocument/2006/relationships/hyperlink" Target="https://portal.mwater.co/" TargetMode="External"/><Relationship Id="rId59" Type="http://schemas.openxmlformats.org/officeDocument/2006/relationships/hyperlink" Target="https://portal.mwater.co/" TargetMode="External"/><Relationship Id="rId103" Type="http://schemas.openxmlformats.org/officeDocument/2006/relationships/hyperlink" Target="https://portal.mwater.co/" TargetMode="External"/><Relationship Id="rId108" Type="http://schemas.openxmlformats.org/officeDocument/2006/relationships/hyperlink" Target="https://portal.mwater.co/" TargetMode="External"/><Relationship Id="rId54" Type="http://schemas.openxmlformats.org/officeDocument/2006/relationships/hyperlink" Target="https://portal.mwater.co/" TargetMode="External"/><Relationship Id="rId70" Type="http://schemas.openxmlformats.org/officeDocument/2006/relationships/hyperlink" Target="https://portal.mwater.co/" TargetMode="External"/><Relationship Id="rId75" Type="http://schemas.openxmlformats.org/officeDocument/2006/relationships/hyperlink" Target="https://portal.mwater.co/" TargetMode="External"/><Relationship Id="rId91" Type="http://schemas.openxmlformats.org/officeDocument/2006/relationships/hyperlink" Target="https://portal.mwater.co/" TargetMode="External"/><Relationship Id="rId96" Type="http://schemas.openxmlformats.org/officeDocument/2006/relationships/hyperlink" Target="https://portal.mwater.co/" TargetMode="External"/><Relationship Id="rId1" Type="http://schemas.openxmlformats.org/officeDocument/2006/relationships/hyperlink" Target="https://portal.mwater.co/" TargetMode="External"/><Relationship Id="rId6" Type="http://schemas.openxmlformats.org/officeDocument/2006/relationships/hyperlink" Target="https://portal.mwater.co/" TargetMode="External"/><Relationship Id="rId15" Type="http://schemas.openxmlformats.org/officeDocument/2006/relationships/hyperlink" Target="https://portal.mwater.co/" TargetMode="External"/><Relationship Id="rId23" Type="http://schemas.openxmlformats.org/officeDocument/2006/relationships/hyperlink" Target="https://portal.mwater.co/" TargetMode="External"/><Relationship Id="rId28" Type="http://schemas.openxmlformats.org/officeDocument/2006/relationships/hyperlink" Target="https://portal.mwater.co/" TargetMode="External"/><Relationship Id="rId36" Type="http://schemas.openxmlformats.org/officeDocument/2006/relationships/hyperlink" Target="https://portal.mwater.co/" TargetMode="External"/><Relationship Id="rId49" Type="http://schemas.openxmlformats.org/officeDocument/2006/relationships/hyperlink" Target="https://portal.mwater.co/" TargetMode="External"/><Relationship Id="rId57" Type="http://schemas.openxmlformats.org/officeDocument/2006/relationships/hyperlink" Target="https://portal.mwater.co/" TargetMode="External"/><Relationship Id="rId106" Type="http://schemas.openxmlformats.org/officeDocument/2006/relationships/hyperlink" Target="https://portal.mwater.co/" TargetMode="External"/><Relationship Id="rId114" Type="http://schemas.microsoft.com/office/2017/10/relationships/threadedComment" Target="../threadedComments/threadedComment2.xml"/><Relationship Id="rId10" Type="http://schemas.openxmlformats.org/officeDocument/2006/relationships/hyperlink" Target="https://portal.mwater.co/" TargetMode="External"/><Relationship Id="rId31" Type="http://schemas.openxmlformats.org/officeDocument/2006/relationships/hyperlink" Target="https://portal.mwater.co/" TargetMode="External"/><Relationship Id="rId44" Type="http://schemas.openxmlformats.org/officeDocument/2006/relationships/hyperlink" Target="https://portal.mwater.co/" TargetMode="External"/><Relationship Id="rId52" Type="http://schemas.openxmlformats.org/officeDocument/2006/relationships/hyperlink" Target="https://portal.mwater.co/" TargetMode="External"/><Relationship Id="rId60" Type="http://schemas.openxmlformats.org/officeDocument/2006/relationships/hyperlink" Target="https://portal.mwater.co/" TargetMode="External"/><Relationship Id="rId65" Type="http://schemas.openxmlformats.org/officeDocument/2006/relationships/hyperlink" Target="https://portal.mwater.co/" TargetMode="External"/><Relationship Id="rId73" Type="http://schemas.openxmlformats.org/officeDocument/2006/relationships/hyperlink" Target="https://portal.mwater.co/" TargetMode="External"/><Relationship Id="rId78" Type="http://schemas.openxmlformats.org/officeDocument/2006/relationships/hyperlink" Target="https://portal.mwater.co/" TargetMode="External"/><Relationship Id="rId81" Type="http://schemas.openxmlformats.org/officeDocument/2006/relationships/hyperlink" Target="https://portal.mwater.co/" TargetMode="External"/><Relationship Id="rId86" Type="http://schemas.openxmlformats.org/officeDocument/2006/relationships/hyperlink" Target="https://portal.mwater.co/" TargetMode="External"/><Relationship Id="rId94" Type="http://schemas.openxmlformats.org/officeDocument/2006/relationships/hyperlink" Target="https://portal.mwater.co/" TargetMode="External"/><Relationship Id="rId99" Type="http://schemas.openxmlformats.org/officeDocument/2006/relationships/hyperlink" Target="https://portal.mwater.co/" TargetMode="External"/><Relationship Id="rId101" Type="http://schemas.openxmlformats.org/officeDocument/2006/relationships/hyperlink" Target="https://portal.mwater.co/" TargetMode="External"/><Relationship Id="rId4" Type="http://schemas.openxmlformats.org/officeDocument/2006/relationships/hyperlink" Target="https://portal.mwater.co/" TargetMode="External"/><Relationship Id="rId9" Type="http://schemas.openxmlformats.org/officeDocument/2006/relationships/hyperlink" Target="https://portal.mwater.co/" TargetMode="External"/><Relationship Id="rId13" Type="http://schemas.openxmlformats.org/officeDocument/2006/relationships/hyperlink" Target="https://portal.mwater.co/" TargetMode="External"/><Relationship Id="rId18" Type="http://schemas.openxmlformats.org/officeDocument/2006/relationships/hyperlink" Target="https://portal.mwater.co/" TargetMode="External"/><Relationship Id="rId39" Type="http://schemas.openxmlformats.org/officeDocument/2006/relationships/hyperlink" Target="https://portal.mwater.co/" TargetMode="External"/><Relationship Id="rId109" Type="http://schemas.openxmlformats.org/officeDocument/2006/relationships/hyperlink" Target="https://portal.mwater.co/" TargetMode="External"/><Relationship Id="rId34" Type="http://schemas.openxmlformats.org/officeDocument/2006/relationships/hyperlink" Target="https://portal.mwater.co/" TargetMode="External"/><Relationship Id="rId50" Type="http://schemas.openxmlformats.org/officeDocument/2006/relationships/hyperlink" Target="https://portal.mwater.co/" TargetMode="External"/><Relationship Id="rId55" Type="http://schemas.openxmlformats.org/officeDocument/2006/relationships/hyperlink" Target="https://portal.mwater.co/" TargetMode="External"/><Relationship Id="rId76" Type="http://schemas.openxmlformats.org/officeDocument/2006/relationships/hyperlink" Target="https://hanwash.sharepoint.com/:x:/s/MattsonProposal/ERploELozoBFkp9hbosD98cBcY3i4KXpNxx4spbxWAs0rg" TargetMode="External"/><Relationship Id="rId97" Type="http://schemas.openxmlformats.org/officeDocument/2006/relationships/hyperlink" Target="https://portal.mwater.co/" TargetMode="External"/><Relationship Id="rId104" Type="http://schemas.openxmlformats.org/officeDocument/2006/relationships/hyperlink" Target="https://portal.mwater.co/" TargetMode="External"/><Relationship Id="rId7" Type="http://schemas.openxmlformats.org/officeDocument/2006/relationships/hyperlink" Target="https://portal.mwater.co/" TargetMode="External"/><Relationship Id="rId71" Type="http://schemas.openxmlformats.org/officeDocument/2006/relationships/hyperlink" Target="https://portal.mwater.co/" TargetMode="External"/><Relationship Id="rId92" Type="http://schemas.openxmlformats.org/officeDocument/2006/relationships/hyperlink" Target="https://portal.mwater.co/" TargetMode="External"/><Relationship Id="rId2" Type="http://schemas.openxmlformats.org/officeDocument/2006/relationships/hyperlink" Target="https://portal.mwater.co/" TargetMode="External"/><Relationship Id="rId29" Type="http://schemas.openxmlformats.org/officeDocument/2006/relationships/hyperlink" Target="https://portal.mwater.co/" TargetMode="External"/><Relationship Id="rId24" Type="http://schemas.openxmlformats.org/officeDocument/2006/relationships/hyperlink" Target="https://portal.mwater.co/" TargetMode="External"/><Relationship Id="rId40" Type="http://schemas.openxmlformats.org/officeDocument/2006/relationships/hyperlink" Target="https://portal.mwater.co/" TargetMode="External"/><Relationship Id="rId45" Type="http://schemas.openxmlformats.org/officeDocument/2006/relationships/hyperlink" Target="https://portal.mwater.co/" TargetMode="External"/><Relationship Id="rId66" Type="http://schemas.openxmlformats.org/officeDocument/2006/relationships/hyperlink" Target="https://portal.mwater.co/" TargetMode="External"/><Relationship Id="rId87" Type="http://schemas.openxmlformats.org/officeDocument/2006/relationships/hyperlink" Target="https://portal.mwater.co/" TargetMode="External"/><Relationship Id="rId110" Type="http://schemas.openxmlformats.org/officeDocument/2006/relationships/hyperlink" Target="https://portal.mwater.co/" TargetMode="External"/><Relationship Id="rId61" Type="http://schemas.openxmlformats.org/officeDocument/2006/relationships/hyperlink" Target="https://portal.mwater.co/" TargetMode="External"/><Relationship Id="rId82" Type="http://schemas.openxmlformats.org/officeDocument/2006/relationships/hyperlink" Target="https://portal.mwater.co/" TargetMode="External"/><Relationship Id="rId19" Type="http://schemas.openxmlformats.org/officeDocument/2006/relationships/hyperlink" Target="https://portal.mwater.co/" TargetMode="External"/><Relationship Id="rId14" Type="http://schemas.openxmlformats.org/officeDocument/2006/relationships/hyperlink" Target="https://portal.mwater.co/" TargetMode="External"/><Relationship Id="rId30" Type="http://schemas.openxmlformats.org/officeDocument/2006/relationships/hyperlink" Target="https://portal.mwater.co/" TargetMode="External"/><Relationship Id="rId35" Type="http://schemas.openxmlformats.org/officeDocument/2006/relationships/hyperlink" Target="https://portal.mwater.co/" TargetMode="External"/><Relationship Id="rId56" Type="http://schemas.openxmlformats.org/officeDocument/2006/relationships/hyperlink" Target="https://portal.mwater.co/" TargetMode="External"/><Relationship Id="rId77" Type="http://schemas.openxmlformats.org/officeDocument/2006/relationships/hyperlink" Target="https://portal.mwater.co/" TargetMode="External"/><Relationship Id="rId100" Type="http://schemas.openxmlformats.org/officeDocument/2006/relationships/hyperlink" Target="https://portal.mwater.co/" TargetMode="External"/><Relationship Id="rId105" Type="http://schemas.openxmlformats.org/officeDocument/2006/relationships/hyperlink" Target="https://portal.mwater.co/" TargetMode="External"/><Relationship Id="rId8" Type="http://schemas.openxmlformats.org/officeDocument/2006/relationships/hyperlink" Target="https://portal.mwater.co/" TargetMode="External"/><Relationship Id="rId51" Type="http://schemas.openxmlformats.org/officeDocument/2006/relationships/hyperlink" Target="https://portal.mwater.co/" TargetMode="External"/><Relationship Id="rId72" Type="http://schemas.openxmlformats.org/officeDocument/2006/relationships/hyperlink" Target="https://portal.mwater.co/" TargetMode="External"/><Relationship Id="rId93" Type="http://schemas.openxmlformats.org/officeDocument/2006/relationships/hyperlink" Target="https://portal.mwater.co/" TargetMode="External"/><Relationship Id="rId98" Type="http://schemas.openxmlformats.org/officeDocument/2006/relationships/hyperlink" Target="https://portal.mwater.co/" TargetMode="External"/><Relationship Id="rId3" Type="http://schemas.openxmlformats.org/officeDocument/2006/relationships/hyperlink" Target="https://portal.mwater.co/" TargetMode="External"/><Relationship Id="rId25" Type="http://schemas.openxmlformats.org/officeDocument/2006/relationships/hyperlink" Target="https://portal.mwater.co/" TargetMode="External"/><Relationship Id="rId46" Type="http://schemas.openxmlformats.org/officeDocument/2006/relationships/hyperlink" Target="https://portal.mwater.co/" TargetMode="External"/><Relationship Id="rId67" Type="http://schemas.openxmlformats.org/officeDocument/2006/relationships/hyperlink" Target="https://portal.mwater.co/" TargetMode="External"/><Relationship Id="rId20" Type="http://schemas.openxmlformats.org/officeDocument/2006/relationships/hyperlink" Target="https://portal.mwater.co/" TargetMode="External"/><Relationship Id="rId41" Type="http://schemas.openxmlformats.org/officeDocument/2006/relationships/hyperlink" Target="https://portal.mwater.co/" TargetMode="External"/><Relationship Id="rId62" Type="http://schemas.openxmlformats.org/officeDocument/2006/relationships/hyperlink" Target="https://portal.mwater.co/" TargetMode="External"/><Relationship Id="rId83" Type="http://schemas.openxmlformats.org/officeDocument/2006/relationships/hyperlink" Target="https://portal.mwater.co/" TargetMode="External"/><Relationship Id="rId88" Type="http://schemas.openxmlformats.org/officeDocument/2006/relationships/hyperlink" Target="https://portal.mwater.co/" TargetMode="External"/><Relationship Id="rId111" Type="http://schemas.openxmlformats.org/officeDocument/2006/relationships/hyperlink" Target="https://portal.mwater.co/"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hanwash.sharepoint.com/:p:/s/MattsonProposal/EVtQM_BzdaVPvkaO39r1hcoBf8bMqmxIf35QW_Yb8CCzbw?e=yh1c9K"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portal.mwater.co/" TargetMode="External"/><Relationship Id="rId21" Type="http://schemas.openxmlformats.org/officeDocument/2006/relationships/hyperlink" Target="https://portal.mwater.co/" TargetMode="External"/><Relationship Id="rId42" Type="http://schemas.openxmlformats.org/officeDocument/2006/relationships/hyperlink" Target="https://portal.mwater.co/" TargetMode="External"/><Relationship Id="rId63" Type="http://schemas.openxmlformats.org/officeDocument/2006/relationships/hyperlink" Target="https://portal.mwater.co/" TargetMode="External"/><Relationship Id="rId84" Type="http://schemas.openxmlformats.org/officeDocument/2006/relationships/hyperlink" Target="https://portal.mwater.co/" TargetMode="External"/><Relationship Id="rId138" Type="http://schemas.openxmlformats.org/officeDocument/2006/relationships/hyperlink" Target="https://portal.mwater.co/" TargetMode="External"/><Relationship Id="rId159" Type="http://schemas.openxmlformats.org/officeDocument/2006/relationships/comments" Target="../comments3.xml"/><Relationship Id="rId107" Type="http://schemas.openxmlformats.org/officeDocument/2006/relationships/hyperlink" Target="https://portal.mwater.co/" TargetMode="External"/><Relationship Id="rId11" Type="http://schemas.openxmlformats.org/officeDocument/2006/relationships/hyperlink" Target="https://portal.mwater.co/" TargetMode="External"/><Relationship Id="rId32" Type="http://schemas.openxmlformats.org/officeDocument/2006/relationships/hyperlink" Target="https://portal.mwater.co/" TargetMode="External"/><Relationship Id="rId53" Type="http://schemas.openxmlformats.org/officeDocument/2006/relationships/hyperlink" Target="https://portal.mwater.co/" TargetMode="External"/><Relationship Id="rId74" Type="http://schemas.openxmlformats.org/officeDocument/2006/relationships/hyperlink" Target="https://portal.mwater.co/" TargetMode="External"/><Relationship Id="rId128" Type="http://schemas.openxmlformats.org/officeDocument/2006/relationships/hyperlink" Target="https://portal.mwater.co/" TargetMode="External"/><Relationship Id="rId149" Type="http://schemas.openxmlformats.org/officeDocument/2006/relationships/hyperlink" Target="https://portal.mwater.co/" TargetMode="External"/><Relationship Id="rId5" Type="http://schemas.openxmlformats.org/officeDocument/2006/relationships/hyperlink" Target="https://portal.mwater.co/" TargetMode="External"/><Relationship Id="rId95" Type="http://schemas.openxmlformats.org/officeDocument/2006/relationships/hyperlink" Target="https://portal.mwater.co/" TargetMode="External"/><Relationship Id="rId160" Type="http://schemas.microsoft.com/office/2017/10/relationships/threadedComment" Target="../threadedComments/threadedComment3.xml"/><Relationship Id="rId22" Type="http://schemas.openxmlformats.org/officeDocument/2006/relationships/hyperlink" Target="https://portal.mwater.co/" TargetMode="External"/><Relationship Id="rId43" Type="http://schemas.openxmlformats.org/officeDocument/2006/relationships/hyperlink" Target="https://portal.mwater.co/" TargetMode="External"/><Relationship Id="rId64" Type="http://schemas.openxmlformats.org/officeDocument/2006/relationships/hyperlink" Target="https://portal.mwater.co/" TargetMode="External"/><Relationship Id="rId118" Type="http://schemas.openxmlformats.org/officeDocument/2006/relationships/hyperlink" Target="https://portal.mwater.co/" TargetMode="External"/><Relationship Id="rId139" Type="http://schemas.openxmlformats.org/officeDocument/2006/relationships/hyperlink" Target="https://portal.mwater.co/" TargetMode="External"/><Relationship Id="rId80" Type="http://schemas.openxmlformats.org/officeDocument/2006/relationships/hyperlink" Target="https://portal.mwater.co/" TargetMode="External"/><Relationship Id="rId85" Type="http://schemas.openxmlformats.org/officeDocument/2006/relationships/hyperlink" Target="https://portal.mwater.co/" TargetMode="External"/><Relationship Id="rId150" Type="http://schemas.openxmlformats.org/officeDocument/2006/relationships/hyperlink" Target="https://portal.mwater.co/" TargetMode="External"/><Relationship Id="rId155" Type="http://schemas.openxmlformats.org/officeDocument/2006/relationships/hyperlink" Target="https://portal.mwater.co/" TargetMode="External"/><Relationship Id="rId12" Type="http://schemas.openxmlformats.org/officeDocument/2006/relationships/hyperlink" Target="https://portal.mwater.co/" TargetMode="External"/><Relationship Id="rId17" Type="http://schemas.openxmlformats.org/officeDocument/2006/relationships/hyperlink" Target="https://portal.mwater.co/" TargetMode="External"/><Relationship Id="rId33" Type="http://schemas.openxmlformats.org/officeDocument/2006/relationships/hyperlink" Target="https://portal.mwater.co/" TargetMode="External"/><Relationship Id="rId38" Type="http://schemas.openxmlformats.org/officeDocument/2006/relationships/hyperlink" Target="https://portal.mwater.co/" TargetMode="External"/><Relationship Id="rId59" Type="http://schemas.openxmlformats.org/officeDocument/2006/relationships/hyperlink" Target="https://portal.mwater.co/" TargetMode="External"/><Relationship Id="rId103" Type="http://schemas.openxmlformats.org/officeDocument/2006/relationships/hyperlink" Target="https://portal.mwater.co/" TargetMode="External"/><Relationship Id="rId108" Type="http://schemas.openxmlformats.org/officeDocument/2006/relationships/hyperlink" Target="https://portal.mwater.co/" TargetMode="External"/><Relationship Id="rId124" Type="http://schemas.openxmlformats.org/officeDocument/2006/relationships/hyperlink" Target="https://portal.mwater.co/" TargetMode="External"/><Relationship Id="rId129" Type="http://schemas.openxmlformats.org/officeDocument/2006/relationships/hyperlink" Target="https://portal.mwater.co/" TargetMode="External"/><Relationship Id="rId54" Type="http://schemas.openxmlformats.org/officeDocument/2006/relationships/hyperlink" Target="https://portal.mwater.co/" TargetMode="External"/><Relationship Id="rId70" Type="http://schemas.openxmlformats.org/officeDocument/2006/relationships/hyperlink" Target="https://portal.mwater.co/" TargetMode="External"/><Relationship Id="rId75" Type="http://schemas.openxmlformats.org/officeDocument/2006/relationships/hyperlink" Target="https://portal.mwater.co/" TargetMode="External"/><Relationship Id="rId91" Type="http://schemas.openxmlformats.org/officeDocument/2006/relationships/hyperlink" Target="https://portal.mwater.co/" TargetMode="External"/><Relationship Id="rId96" Type="http://schemas.openxmlformats.org/officeDocument/2006/relationships/hyperlink" Target="https://portal.mwater.co/" TargetMode="External"/><Relationship Id="rId140" Type="http://schemas.openxmlformats.org/officeDocument/2006/relationships/hyperlink" Target="https://portal.mwater.co/" TargetMode="External"/><Relationship Id="rId145" Type="http://schemas.openxmlformats.org/officeDocument/2006/relationships/hyperlink" Target="https://portal.mwater.co/" TargetMode="External"/><Relationship Id="rId1" Type="http://schemas.openxmlformats.org/officeDocument/2006/relationships/hyperlink" Target="https://portal.mwater.co/" TargetMode="External"/><Relationship Id="rId6" Type="http://schemas.openxmlformats.org/officeDocument/2006/relationships/hyperlink" Target="https://portal.mwater.co/" TargetMode="External"/><Relationship Id="rId23" Type="http://schemas.openxmlformats.org/officeDocument/2006/relationships/hyperlink" Target="https://portal.mwater.co/" TargetMode="External"/><Relationship Id="rId28" Type="http://schemas.openxmlformats.org/officeDocument/2006/relationships/hyperlink" Target="https://portal.mwater.co/" TargetMode="External"/><Relationship Id="rId49" Type="http://schemas.openxmlformats.org/officeDocument/2006/relationships/hyperlink" Target="https://portal.mwater.co/" TargetMode="External"/><Relationship Id="rId114" Type="http://schemas.openxmlformats.org/officeDocument/2006/relationships/hyperlink" Target="https://portal.mwater.co/" TargetMode="External"/><Relationship Id="rId119" Type="http://schemas.openxmlformats.org/officeDocument/2006/relationships/hyperlink" Target="https://portal.mwater.co/" TargetMode="External"/><Relationship Id="rId44" Type="http://schemas.openxmlformats.org/officeDocument/2006/relationships/hyperlink" Target="https://portal.mwater.co/" TargetMode="External"/><Relationship Id="rId60" Type="http://schemas.openxmlformats.org/officeDocument/2006/relationships/hyperlink" Target="https://portal.mwater.co/" TargetMode="External"/><Relationship Id="rId65" Type="http://schemas.openxmlformats.org/officeDocument/2006/relationships/hyperlink" Target="https://portal.mwater.co/" TargetMode="External"/><Relationship Id="rId81" Type="http://schemas.openxmlformats.org/officeDocument/2006/relationships/hyperlink" Target="https://portal.mwater.co/" TargetMode="External"/><Relationship Id="rId86" Type="http://schemas.openxmlformats.org/officeDocument/2006/relationships/hyperlink" Target="https://portal.mwater.co/" TargetMode="External"/><Relationship Id="rId130" Type="http://schemas.openxmlformats.org/officeDocument/2006/relationships/hyperlink" Target="https://hanwash.sharepoint.com/Downloads/HANWASH%20project%20monitoring" TargetMode="External"/><Relationship Id="rId135" Type="http://schemas.openxmlformats.org/officeDocument/2006/relationships/hyperlink" Target="https://portal.mwater.co/" TargetMode="External"/><Relationship Id="rId151" Type="http://schemas.openxmlformats.org/officeDocument/2006/relationships/hyperlink" Target="https://portal.mwater.co/" TargetMode="External"/><Relationship Id="rId156" Type="http://schemas.openxmlformats.org/officeDocument/2006/relationships/hyperlink" Target="https://portal.mwater.co/" TargetMode="External"/><Relationship Id="rId13" Type="http://schemas.openxmlformats.org/officeDocument/2006/relationships/hyperlink" Target="https://portal.mwater.co/" TargetMode="External"/><Relationship Id="rId18" Type="http://schemas.openxmlformats.org/officeDocument/2006/relationships/hyperlink" Target="https://portal.mwater.co/" TargetMode="External"/><Relationship Id="rId39" Type="http://schemas.openxmlformats.org/officeDocument/2006/relationships/hyperlink" Target="https://portal.mwater.co/" TargetMode="External"/><Relationship Id="rId109" Type="http://schemas.openxmlformats.org/officeDocument/2006/relationships/hyperlink" Target="https://portal.mwater.co/" TargetMode="External"/><Relationship Id="rId34" Type="http://schemas.openxmlformats.org/officeDocument/2006/relationships/hyperlink" Target="https://portal.mwater.co/" TargetMode="External"/><Relationship Id="rId50" Type="http://schemas.openxmlformats.org/officeDocument/2006/relationships/hyperlink" Target="https://portal.mwater.co/" TargetMode="External"/><Relationship Id="rId55" Type="http://schemas.openxmlformats.org/officeDocument/2006/relationships/hyperlink" Target="https://portal.mwater.co/" TargetMode="External"/><Relationship Id="rId76" Type="http://schemas.openxmlformats.org/officeDocument/2006/relationships/hyperlink" Target="https://portal.mwater.co/" TargetMode="External"/><Relationship Id="rId97" Type="http://schemas.openxmlformats.org/officeDocument/2006/relationships/hyperlink" Target="https://portal.mwater.co/" TargetMode="External"/><Relationship Id="rId104" Type="http://schemas.openxmlformats.org/officeDocument/2006/relationships/hyperlink" Target="https://hanwash.sharepoint.com/:x:/s/MattsonProposal/ERploELozoBFkp9hbosD98cBcY3i4KXpNxx4spbxWAs0rg" TargetMode="External"/><Relationship Id="rId120" Type="http://schemas.openxmlformats.org/officeDocument/2006/relationships/hyperlink" Target="https://portal.mwater.co/" TargetMode="External"/><Relationship Id="rId125" Type="http://schemas.openxmlformats.org/officeDocument/2006/relationships/hyperlink" Target="https://portal.mwater.co/" TargetMode="External"/><Relationship Id="rId141" Type="http://schemas.openxmlformats.org/officeDocument/2006/relationships/hyperlink" Target="https://portal.mwater.co/" TargetMode="External"/><Relationship Id="rId146" Type="http://schemas.openxmlformats.org/officeDocument/2006/relationships/hyperlink" Target="https://portal.mwater.co/" TargetMode="External"/><Relationship Id="rId7" Type="http://schemas.openxmlformats.org/officeDocument/2006/relationships/hyperlink" Target="https://portal.mwater.co/" TargetMode="External"/><Relationship Id="rId71" Type="http://schemas.openxmlformats.org/officeDocument/2006/relationships/hyperlink" Target="https://portal.mwater.co/" TargetMode="External"/><Relationship Id="rId92" Type="http://schemas.openxmlformats.org/officeDocument/2006/relationships/hyperlink" Target="https://portal.mwater.co/" TargetMode="External"/><Relationship Id="rId2" Type="http://schemas.openxmlformats.org/officeDocument/2006/relationships/hyperlink" Target="https://portal.mwater.co/" TargetMode="External"/><Relationship Id="rId29" Type="http://schemas.openxmlformats.org/officeDocument/2006/relationships/hyperlink" Target="https://portal.mwater.co/" TargetMode="External"/><Relationship Id="rId24" Type="http://schemas.openxmlformats.org/officeDocument/2006/relationships/hyperlink" Target="https://portal.mwater.co/" TargetMode="External"/><Relationship Id="rId40" Type="http://schemas.openxmlformats.org/officeDocument/2006/relationships/hyperlink" Target="https://portal.mwater.co/" TargetMode="External"/><Relationship Id="rId45" Type="http://schemas.openxmlformats.org/officeDocument/2006/relationships/hyperlink" Target="https://portal.mwater.co/" TargetMode="External"/><Relationship Id="rId66" Type="http://schemas.openxmlformats.org/officeDocument/2006/relationships/hyperlink" Target="https://portal.mwater.co/" TargetMode="External"/><Relationship Id="rId87" Type="http://schemas.openxmlformats.org/officeDocument/2006/relationships/hyperlink" Target="https://portal.mwater.co/" TargetMode="External"/><Relationship Id="rId110" Type="http://schemas.openxmlformats.org/officeDocument/2006/relationships/hyperlink" Target="https://portal.mwater.co/" TargetMode="External"/><Relationship Id="rId115" Type="http://schemas.openxmlformats.org/officeDocument/2006/relationships/hyperlink" Target="https://portal.mwater.co/" TargetMode="External"/><Relationship Id="rId131" Type="http://schemas.openxmlformats.org/officeDocument/2006/relationships/hyperlink" Target="https://portal.mwater.co/" TargetMode="External"/><Relationship Id="rId136" Type="http://schemas.openxmlformats.org/officeDocument/2006/relationships/hyperlink" Target="https://portal.mwater.co/" TargetMode="External"/><Relationship Id="rId157" Type="http://schemas.openxmlformats.org/officeDocument/2006/relationships/hyperlink" Target="https://portal.mwater.co/" TargetMode="External"/><Relationship Id="rId61" Type="http://schemas.openxmlformats.org/officeDocument/2006/relationships/hyperlink" Target="https://portal.mwater.co/" TargetMode="External"/><Relationship Id="rId82" Type="http://schemas.openxmlformats.org/officeDocument/2006/relationships/hyperlink" Target="https://portal.mwater.co/" TargetMode="External"/><Relationship Id="rId152" Type="http://schemas.openxmlformats.org/officeDocument/2006/relationships/hyperlink" Target="https://portal.mwater.co/" TargetMode="External"/><Relationship Id="rId19" Type="http://schemas.openxmlformats.org/officeDocument/2006/relationships/hyperlink" Target="https://portal.mwater.co/" TargetMode="External"/><Relationship Id="rId14" Type="http://schemas.openxmlformats.org/officeDocument/2006/relationships/hyperlink" Target="https://portal.mwater.co/" TargetMode="External"/><Relationship Id="rId30" Type="http://schemas.openxmlformats.org/officeDocument/2006/relationships/hyperlink" Target="https://portal.mwater.co/" TargetMode="External"/><Relationship Id="rId35" Type="http://schemas.openxmlformats.org/officeDocument/2006/relationships/hyperlink" Target="https://portal.mwater.co/" TargetMode="External"/><Relationship Id="rId56" Type="http://schemas.openxmlformats.org/officeDocument/2006/relationships/hyperlink" Target="https://portal.mwater.co/" TargetMode="External"/><Relationship Id="rId77" Type="http://schemas.openxmlformats.org/officeDocument/2006/relationships/hyperlink" Target="https://portal.mwater.co/" TargetMode="External"/><Relationship Id="rId100" Type="http://schemas.openxmlformats.org/officeDocument/2006/relationships/hyperlink" Target="https://portal.mwater.co/" TargetMode="External"/><Relationship Id="rId105" Type="http://schemas.openxmlformats.org/officeDocument/2006/relationships/hyperlink" Target="https://portal.mwater.co/" TargetMode="External"/><Relationship Id="rId126" Type="http://schemas.openxmlformats.org/officeDocument/2006/relationships/hyperlink" Target="https://portal.mwater.co/" TargetMode="External"/><Relationship Id="rId147" Type="http://schemas.openxmlformats.org/officeDocument/2006/relationships/hyperlink" Target="https://portal.mwater.co/" TargetMode="External"/><Relationship Id="rId8" Type="http://schemas.openxmlformats.org/officeDocument/2006/relationships/hyperlink" Target="https://portal.mwater.co/" TargetMode="External"/><Relationship Id="rId51" Type="http://schemas.openxmlformats.org/officeDocument/2006/relationships/hyperlink" Target="https://portal.mwater.co/" TargetMode="External"/><Relationship Id="rId72" Type="http://schemas.openxmlformats.org/officeDocument/2006/relationships/hyperlink" Target="https://portal.mwater.co/" TargetMode="External"/><Relationship Id="rId93" Type="http://schemas.openxmlformats.org/officeDocument/2006/relationships/hyperlink" Target="https://portal.mwater.co/" TargetMode="External"/><Relationship Id="rId98" Type="http://schemas.openxmlformats.org/officeDocument/2006/relationships/hyperlink" Target="https://portal.mwater.co/" TargetMode="External"/><Relationship Id="rId121" Type="http://schemas.openxmlformats.org/officeDocument/2006/relationships/hyperlink" Target="https://portal.mwater.co/" TargetMode="External"/><Relationship Id="rId142" Type="http://schemas.openxmlformats.org/officeDocument/2006/relationships/hyperlink" Target="https://portal.mwater.co/" TargetMode="External"/><Relationship Id="rId3" Type="http://schemas.openxmlformats.org/officeDocument/2006/relationships/hyperlink" Target="https://portal.mwater.co/" TargetMode="External"/><Relationship Id="rId25" Type="http://schemas.openxmlformats.org/officeDocument/2006/relationships/hyperlink" Target="https://portal.mwater.co/" TargetMode="External"/><Relationship Id="rId46" Type="http://schemas.openxmlformats.org/officeDocument/2006/relationships/hyperlink" Target="https://portal.mwater.co/" TargetMode="External"/><Relationship Id="rId67" Type="http://schemas.openxmlformats.org/officeDocument/2006/relationships/hyperlink" Target="https://portal.mwater.co/" TargetMode="External"/><Relationship Id="rId116" Type="http://schemas.openxmlformats.org/officeDocument/2006/relationships/hyperlink" Target="https://portal.mwater.co/" TargetMode="External"/><Relationship Id="rId137" Type="http://schemas.openxmlformats.org/officeDocument/2006/relationships/hyperlink" Target="https://portal.mwater.co/" TargetMode="External"/><Relationship Id="rId158" Type="http://schemas.openxmlformats.org/officeDocument/2006/relationships/vmlDrawing" Target="../drawings/vmlDrawing3.vml"/><Relationship Id="rId20" Type="http://schemas.openxmlformats.org/officeDocument/2006/relationships/hyperlink" Target="https://portal.mwater.co/" TargetMode="External"/><Relationship Id="rId41" Type="http://schemas.openxmlformats.org/officeDocument/2006/relationships/hyperlink" Target="https://portal.mwater.co/" TargetMode="External"/><Relationship Id="rId62" Type="http://schemas.openxmlformats.org/officeDocument/2006/relationships/hyperlink" Target="https://portal.mwater.co/" TargetMode="External"/><Relationship Id="rId83" Type="http://schemas.openxmlformats.org/officeDocument/2006/relationships/hyperlink" Target="https://portal.mwater.co/" TargetMode="External"/><Relationship Id="rId88" Type="http://schemas.openxmlformats.org/officeDocument/2006/relationships/hyperlink" Target="https://portal.mwater.co/" TargetMode="External"/><Relationship Id="rId111" Type="http://schemas.openxmlformats.org/officeDocument/2006/relationships/hyperlink" Target="https://portal.mwater.co/" TargetMode="External"/><Relationship Id="rId132" Type="http://schemas.openxmlformats.org/officeDocument/2006/relationships/hyperlink" Target="https://portal.mwater.co/" TargetMode="External"/><Relationship Id="rId153" Type="http://schemas.openxmlformats.org/officeDocument/2006/relationships/hyperlink" Target="https://portal.mwater.co/" TargetMode="External"/><Relationship Id="rId15" Type="http://schemas.openxmlformats.org/officeDocument/2006/relationships/hyperlink" Target="https://portal.mwater.co/" TargetMode="External"/><Relationship Id="rId36" Type="http://schemas.openxmlformats.org/officeDocument/2006/relationships/hyperlink" Target="https://portal.mwater.co/" TargetMode="External"/><Relationship Id="rId57" Type="http://schemas.openxmlformats.org/officeDocument/2006/relationships/hyperlink" Target="https://portal.mwater.co/" TargetMode="External"/><Relationship Id="rId106" Type="http://schemas.openxmlformats.org/officeDocument/2006/relationships/hyperlink" Target="https://portal.mwater.co/" TargetMode="External"/><Relationship Id="rId127" Type="http://schemas.openxmlformats.org/officeDocument/2006/relationships/hyperlink" Target="https://portal.mwater.co/" TargetMode="External"/><Relationship Id="rId10" Type="http://schemas.openxmlformats.org/officeDocument/2006/relationships/hyperlink" Target="https://portal.mwater.co/" TargetMode="External"/><Relationship Id="rId31" Type="http://schemas.openxmlformats.org/officeDocument/2006/relationships/hyperlink" Target="https://portal.mwater.co/" TargetMode="External"/><Relationship Id="rId52" Type="http://schemas.openxmlformats.org/officeDocument/2006/relationships/hyperlink" Target="https://portal.mwater.co/" TargetMode="External"/><Relationship Id="rId73" Type="http://schemas.openxmlformats.org/officeDocument/2006/relationships/hyperlink" Target="https://portal.mwater.co/" TargetMode="External"/><Relationship Id="rId78" Type="http://schemas.openxmlformats.org/officeDocument/2006/relationships/hyperlink" Target="https://portal.mwater.co/" TargetMode="External"/><Relationship Id="rId94" Type="http://schemas.openxmlformats.org/officeDocument/2006/relationships/hyperlink" Target="https://portal.mwater.co/" TargetMode="External"/><Relationship Id="rId99" Type="http://schemas.openxmlformats.org/officeDocument/2006/relationships/hyperlink" Target="https://portal.mwater.co/" TargetMode="External"/><Relationship Id="rId101" Type="http://schemas.openxmlformats.org/officeDocument/2006/relationships/hyperlink" Target="https://portal.mwater.co/" TargetMode="External"/><Relationship Id="rId122" Type="http://schemas.openxmlformats.org/officeDocument/2006/relationships/hyperlink" Target="https://portal.mwater.co/" TargetMode="External"/><Relationship Id="rId143" Type="http://schemas.openxmlformats.org/officeDocument/2006/relationships/hyperlink" Target="https://portal.mwater.co/" TargetMode="External"/><Relationship Id="rId148" Type="http://schemas.openxmlformats.org/officeDocument/2006/relationships/hyperlink" Target="https://portal.mwater.co/" TargetMode="External"/><Relationship Id="rId4" Type="http://schemas.openxmlformats.org/officeDocument/2006/relationships/hyperlink" Target="https://portal.mwater.co/" TargetMode="External"/><Relationship Id="rId9" Type="http://schemas.openxmlformats.org/officeDocument/2006/relationships/hyperlink" Target="https://portal.mwater.co/" TargetMode="External"/><Relationship Id="rId26" Type="http://schemas.openxmlformats.org/officeDocument/2006/relationships/hyperlink" Target="https://portal.mwater.co/" TargetMode="External"/><Relationship Id="rId47" Type="http://schemas.openxmlformats.org/officeDocument/2006/relationships/hyperlink" Target="https://portal.mwater.co/" TargetMode="External"/><Relationship Id="rId68" Type="http://schemas.openxmlformats.org/officeDocument/2006/relationships/hyperlink" Target="https://portal.mwater.co/" TargetMode="External"/><Relationship Id="rId89" Type="http://schemas.openxmlformats.org/officeDocument/2006/relationships/hyperlink" Target="https://portal.mwater.co/" TargetMode="External"/><Relationship Id="rId112" Type="http://schemas.openxmlformats.org/officeDocument/2006/relationships/hyperlink" Target="https://portal.mwater.co/" TargetMode="External"/><Relationship Id="rId133" Type="http://schemas.openxmlformats.org/officeDocument/2006/relationships/hyperlink" Target="https://portal.mwater.co/" TargetMode="External"/><Relationship Id="rId154" Type="http://schemas.openxmlformats.org/officeDocument/2006/relationships/hyperlink" Target="https://portal.mwater.co/" TargetMode="External"/><Relationship Id="rId16" Type="http://schemas.openxmlformats.org/officeDocument/2006/relationships/hyperlink" Target="https://portal.mwater.co/" TargetMode="External"/><Relationship Id="rId37" Type="http://schemas.openxmlformats.org/officeDocument/2006/relationships/hyperlink" Target="https://portal.mwater.co/" TargetMode="External"/><Relationship Id="rId58" Type="http://schemas.openxmlformats.org/officeDocument/2006/relationships/hyperlink" Target="https://portal.mwater.co/" TargetMode="External"/><Relationship Id="rId79" Type="http://schemas.openxmlformats.org/officeDocument/2006/relationships/hyperlink" Target="https://portal.mwater.co/" TargetMode="External"/><Relationship Id="rId102" Type="http://schemas.openxmlformats.org/officeDocument/2006/relationships/hyperlink" Target="https://portal.mwater.co/" TargetMode="External"/><Relationship Id="rId123" Type="http://schemas.openxmlformats.org/officeDocument/2006/relationships/hyperlink" Target="https://portal.mwater.co/" TargetMode="External"/><Relationship Id="rId144" Type="http://schemas.openxmlformats.org/officeDocument/2006/relationships/hyperlink" Target="https://portal.mwater.co/" TargetMode="External"/><Relationship Id="rId90" Type="http://schemas.openxmlformats.org/officeDocument/2006/relationships/hyperlink" Target="https://portal.mwater.co/" TargetMode="External"/><Relationship Id="rId27" Type="http://schemas.openxmlformats.org/officeDocument/2006/relationships/hyperlink" Target="https://portal.mwater.co/" TargetMode="External"/><Relationship Id="rId48" Type="http://schemas.openxmlformats.org/officeDocument/2006/relationships/hyperlink" Target="https://portal.mwater.co/" TargetMode="External"/><Relationship Id="rId69" Type="http://schemas.openxmlformats.org/officeDocument/2006/relationships/hyperlink" Target="https://portal.mwater.co/" TargetMode="External"/><Relationship Id="rId113" Type="http://schemas.openxmlformats.org/officeDocument/2006/relationships/hyperlink" Target="https://portal.mwater.co/" TargetMode="External"/><Relationship Id="rId134" Type="http://schemas.openxmlformats.org/officeDocument/2006/relationships/hyperlink" Target="https://portal.mwater.co/"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portal.mwater.co/" TargetMode="External"/><Relationship Id="rId21" Type="http://schemas.openxmlformats.org/officeDocument/2006/relationships/hyperlink" Target="https://portal.mwater.co/" TargetMode="External"/><Relationship Id="rId42" Type="http://schemas.openxmlformats.org/officeDocument/2006/relationships/hyperlink" Target="https://portal.mwater.co/" TargetMode="External"/><Relationship Id="rId47" Type="http://schemas.openxmlformats.org/officeDocument/2006/relationships/hyperlink" Target="https://portal.mwater.co/" TargetMode="External"/><Relationship Id="rId63" Type="http://schemas.openxmlformats.org/officeDocument/2006/relationships/hyperlink" Target="https://portal.mwater.co/" TargetMode="External"/><Relationship Id="rId68" Type="http://schemas.openxmlformats.org/officeDocument/2006/relationships/hyperlink" Target="https://portal.mwater.co/" TargetMode="External"/><Relationship Id="rId84" Type="http://schemas.openxmlformats.org/officeDocument/2006/relationships/hyperlink" Target="https://portal.mwater.co/" TargetMode="External"/><Relationship Id="rId89" Type="http://schemas.openxmlformats.org/officeDocument/2006/relationships/hyperlink" Target="https://portal.mwater.co/" TargetMode="External"/><Relationship Id="rId112" Type="http://schemas.openxmlformats.org/officeDocument/2006/relationships/vmlDrawing" Target="../drawings/vmlDrawing4.vml"/><Relationship Id="rId16" Type="http://schemas.openxmlformats.org/officeDocument/2006/relationships/hyperlink" Target="https://portal.mwater.co/" TargetMode="External"/><Relationship Id="rId107" Type="http://schemas.openxmlformats.org/officeDocument/2006/relationships/hyperlink" Target="https://portal.mwater.co/" TargetMode="External"/><Relationship Id="rId11" Type="http://schemas.openxmlformats.org/officeDocument/2006/relationships/hyperlink" Target="https://portal.mwater.co/" TargetMode="External"/><Relationship Id="rId32" Type="http://schemas.openxmlformats.org/officeDocument/2006/relationships/hyperlink" Target="https://portal.mwater.co/" TargetMode="External"/><Relationship Id="rId37" Type="http://schemas.openxmlformats.org/officeDocument/2006/relationships/hyperlink" Target="https://portal.mwater.co/" TargetMode="External"/><Relationship Id="rId53" Type="http://schemas.openxmlformats.org/officeDocument/2006/relationships/hyperlink" Target="https://portal.mwater.co/" TargetMode="External"/><Relationship Id="rId58" Type="http://schemas.openxmlformats.org/officeDocument/2006/relationships/hyperlink" Target="https://portal.mwater.co/" TargetMode="External"/><Relationship Id="rId74" Type="http://schemas.openxmlformats.org/officeDocument/2006/relationships/hyperlink" Target="https://portal.mwater.co/" TargetMode="External"/><Relationship Id="rId79" Type="http://schemas.openxmlformats.org/officeDocument/2006/relationships/hyperlink" Target="https://portal.mwater.co/" TargetMode="External"/><Relationship Id="rId102" Type="http://schemas.openxmlformats.org/officeDocument/2006/relationships/hyperlink" Target="https://portal.mwater.co/" TargetMode="External"/><Relationship Id="rId5" Type="http://schemas.openxmlformats.org/officeDocument/2006/relationships/hyperlink" Target="https://portal.mwater.co/" TargetMode="External"/><Relationship Id="rId90" Type="http://schemas.openxmlformats.org/officeDocument/2006/relationships/hyperlink" Target="https://portal.mwater.co/" TargetMode="External"/><Relationship Id="rId95" Type="http://schemas.openxmlformats.org/officeDocument/2006/relationships/hyperlink" Target="https://portal.mwater.co/" TargetMode="External"/><Relationship Id="rId22" Type="http://schemas.openxmlformats.org/officeDocument/2006/relationships/hyperlink" Target="https://portal.mwater.co/" TargetMode="External"/><Relationship Id="rId27" Type="http://schemas.openxmlformats.org/officeDocument/2006/relationships/hyperlink" Target="https://portal.mwater.co/" TargetMode="External"/><Relationship Id="rId43" Type="http://schemas.openxmlformats.org/officeDocument/2006/relationships/hyperlink" Target="https://portal.mwater.co/" TargetMode="External"/><Relationship Id="rId48" Type="http://schemas.openxmlformats.org/officeDocument/2006/relationships/hyperlink" Target="https://portal.mwater.co/" TargetMode="External"/><Relationship Id="rId64" Type="http://schemas.openxmlformats.org/officeDocument/2006/relationships/hyperlink" Target="https://portal.mwater.co/" TargetMode="External"/><Relationship Id="rId69" Type="http://schemas.openxmlformats.org/officeDocument/2006/relationships/hyperlink" Target="https://portal.mwater.co/" TargetMode="External"/><Relationship Id="rId113" Type="http://schemas.openxmlformats.org/officeDocument/2006/relationships/comments" Target="../comments4.xml"/><Relationship Id="rId80" Type="http://schemas.openxmlformats.org/officeDocument/2006/relationships/hyperlink" Target="https://portal.mwater.co/" TargetMode="External"/><Relationship Id="rId85" Type="http://schemas.openxmlformats.org/officeDocument/2006/relationships/hyperlink" Target="https://portal.mwater.co/" TargetMode="External"/><Relationship Id="rId12" Type="http://schemas.openxmlformats.org/officeDocument/2006/relationships/hyperlink" Target="https://portal.mwater.co/" TargetMode="External"/><Relationship Id="rId17" Type="http://schemas.openxmlformats.org/officeDocument/2006/relationships/hyperlink" Target="https://portal.mwater.co/" TargetMode="External"/><Relationship Id="rId33" Type="http://schemas.openxmlformats.org/officeDocument/2006/relationships/hyperlink" Target="https://portal.mwater.co/" TargetMode="External"/><Relationship Id="rId38" Type="http://schemas.openxmlformats.org/officeDocument/2006/relationships/hyperlink" Target="https://portal.mwater.co/" TargetMode="External"/><Relationship Id="rId59" Type="http://schemas.openxmlformats.org/officeDocument/2006/relationships/hyperlink" Target="https://portal.mwater.co/" TargetMode="External"/><Relationship Id="rId103" Type="http://schemas.openxmlformats.org/officeDocument/2006/relationships/hyperlink" Target="https://portal.mwater.co/" TargetMode="External"/><Relationship Id="rId108" Type="http://schemas.openxmlformats.org/officeDocument/2006/relationships/hyperlink" Target="https://portal.mwater.co/" TargetMode="External"/><Relationship Id="rId54" Type="http://schemas.openxmlformats.org/officeDocument/2006/relationships/hyperlink" Target="https://portal.mwater.co/" TargetMode="External"/><Relationship Id="rId70" Type="http://schemas.openxmlformats.org/officeDocument/2006/relationships/hyperlink" Target="https://portal.mwater.co/" TargetMode="External"/><Relationship Id="rId75" Type="http://schemas.openxmlformats.org/officeDocument/2006/relationships/hyperlink" Target="https://portal.mwater.co/" TargetMode="External"/><Relationship Id="rId91" Type="http://schemas.openxmlformats.org/officeDocument/2006/relationships/hyperlink" Target="https://portal.mwater.co/" TargetMode="External"/><Relationship Id="rId96" Type="http://schemas.openxmlformats.org/officeDocument/2006/relationships/hyperlink" Target="https://portal.mwater.co/" TargetMode="External"/><Relationship Id="rId1" Type="http://schemas.openxmlformats.org/officeDocument/2006/relationships/hyperlink" Target="https://portal.mwater.co/" TargetMode="External"/><Relationship Id="rId6" Type="http://schemas.openxmlformats.org/officeDocument/2006/relationships/hyperlink" Target="https://portal.mwater.co/" TargetMode="External"/><Relationship Id="rId15" Type="http://schemas.openxmlformats.org/officeDocument/2006/relationships/hyperlink" Target="https://portal.mwater.co/" TargetMode="External"/><Relationship Id="rId23" Type="http://schemas.openxmlformats.org/officeDocument/2006/relationships/hyperlink" Target="https://portal.mwater.co/" TargetMode="External"/><Relationship Id="rId28" Type="http://schemas.openxmlformats.org/officeDocument/2006/relationships/hyperlink" Target="https://portal.mwater.co/" TargetMode="External"/><Relationship Id="rId36" Type="http://schemas.openxmlformats.org/officeDocument/2006/relationships/hyperlink" Target="https://portal.mwater.co/" TargetMode="External"/><Relationship Id="rId49" Type="http://schemas.openxmlformats.org/officeDocument/2006/relationships/hyperlink" Target="https://portal.mwater.co/" TargetMode="External"/><Relationship Id="rId57" Type="http://schemas.openxmlformats.org/officeDocument/2006/relationships/hyperlink" Target="https://portal.mwater.co/" TargetMode="External"/><Relationship Id="rId106" Type="http://schemas.openxmlformats.org/officeDocument/2006/relationships/hyperlink" Target="https://portal.mwater.co/" TargetMode="External"/><Relationship Id="rId114" Type="http://schemas.microsoft.com/office/2017/10/relationships/threadedComment" Target="../threadedComments/threadedComment4.xml"/><Relationship Id="rId10" Type="http://schemas.openxmlformats.org/officeDocument/2006/relationships/hyperlink" Target="https://portal.mwater.co/" TargetMode="External"/><Relationship Id="rId31" Type="http://schemas.openxmlformats.org/officeDocument/2006/relationships/hyperlink" Target="https://portal.mwater.co/" TargetMode="External"/><Relationship Id="rId44" Type="http://schemas.openxmlformats.org/officeDocument/2006/relationships/hyperlink" Target="https://portal.mwater.co/" TargetMode="External"/><Relationship Id="rId52" Type="http://schemas.openxmlformats.org/officeDocument/2006/relationships/hyperlink" Target="https://portal.mwater.co/" TargetMode="External"/><Relationship Id="rId60" Type="http://schemas.openxmlformats.org/officeDocument/2006/relationships/hyperlink" Target="https://portal.mwater.co/" TargetMode="External"/><Relationship Id="rId65" Type="http://schemas.openxmlformats.org/officeDocument/2006/relationships/hyperlink" Target="https://portal.mwater.co/" TargetMode="External"/><Relationship Id="rId73" Type="http://schemas.openxmlformats.org/officeDocument/2006/relationships/hyperlink" Target="https://portal.mwater.co/" TargetMode="External"/><Relationship Id="rId78" Type="http://schemas.openxmlformats.org/officeDocument/2006/relationships/hyperlink" Target="https://portal.mwater.co/" TargetMode="External"/><Relationship Id="rId81" Type="http://schemas.openxmlformats.org/officeDocument/2006/relationships/hyperlink" Target="https://portal.mwater.co/" TargetMode="External"/><Relationship Id="rId86" Type="http://schemas.openxmlformats.org/officeDocument/2006/relationships/hyperlink" Target="https://portal.mwater.co/" TargetMode="External"/><Relationship Id="rId94" Type="http://schemas.openxmlformats.org/officeDocument/2006/relationships/hyperlink" Target="https://portal.mwater.co/" TargetMode="External"/><Relationship Id="rId99" Type="http://schemas.openxmlformats.org/officeDocument/2006/relationships/hyperlink" Target="https://portal.mwater.co/" TargetMode="External"/><Relationship Id="rId101" Type="http://schemas.openxmlformats.org/officeDocument/2006/relationships/hyperlink" Target="https://portal.mwater.co/" TargetMode="External"/><Relationship Id="rId4" Type="http://schemas.openxmlformats.org/officeDocument/2006/relationships/hyperlink" Target="https://portal.mwater.co/" TargetMode="External"/><Relationship Id="rId9" Type="http://schemas.openxmlformats.org/officeDocument/2006/relationships/hyperlink" Target="https://portal.mwater.co/" TargetMode="External"/><Relationship Id="rId13" Type="http://schemas.openxmlformats.org/officeDocument/2006/relationships/hyperlink" Target="https://portal.mwater.co/" TargetMode="External"/><Relationship Id="rId18" Type="http://schemas.openxmlformats.org/officeDocument/2006/relationships/hyperlink" Target="https://portal.mwater.co/" TargetMode="External"/><Relationship Id="rId39" Type="http://schemas.openxmlformats.org/officeDocument/2006/relationships/hyperlink" Target="https://portal.mwater.co/" TargetMode="External"/><Relationship Id="rId109" Type="http://schemas.openxmlformats.org/officeDocument/2006/relationships/hyperlink" Target="https://portal.mwater.co/" TargetMode="External"/><Relationship Id="rId34" Type="http://schemas.openxmlformats.org/officeDocument/2006/relationships/hyperlink" Target="https://portal.mwater.co/" TargetMode="External"/><Relationship Id="rId50" Type="http://schemas.openxmlformats.org/officeDocument/2006/relationships/hyperlink" Target="https://portal.mwater.co/" TargetMode="External"/><Relationship Id="rId55" Type="http://schemas.openxmlformats.org/officeDocument/2006/relationships/hyperlink" Target="https://portal.mwater.co/" TargetMode="External"/><Relationship Id="rId76" Type="http://schemas.openxmlformats.org/officeDocument/2006/relationships/hyperlink" Target="https://hanwash.sharepoint.com/:x:/s/MattsonProposal/ERploELozoBFkp9hbosD98cBcY3i4KXpNxx4spbxWAs0rg" TargetMode="External"/><Relationship Id="rId97" Type="http://schemas.openxmlformats.org/officeDocument/2006/relationships/hyperlink" Target="https://portal.mwater.co/" TargetMode="External"/><Relationship Id="rId104" Type="http://schemas.openxmlformats.org/officeDocument/2006/relationships/hyperlink" Target="https://portal.mwater.co/" TargetMode="External"/><Relationship Id="rId7" Type="http://schemas.openxmlformats.org/officeDocument/2006/relationships/hyperlink" Target="https://portal.mwater.co/" TargetMode="External"/><Relationship Id="rId71" Type="http://schemas.openxmlformats.org/officeDocument/2006/relationships/hyperlink" Target="https://portal.mwater.co/" TargetMode="External"/><Relationship Id="rId92" Type="http://schemas.openxmlformats.org/officeDocument/2006/relationships/hyperlink" Target="https://portal.mwater.co/" TargetMode="External"/><Relationship Id="rId2" Type="http://schemas.openxmlformats.org/officeDocument/2006/relationships/hyperlink" Target="https://portal.mwater.co/" TargetMode="External"/><Relationship Id="rId29" Type="http://schemas.openxmlformats.org/officeDocument/2006/relationships/hyperlink" Target="https://portal.mwater.co/" TargetMode="External"/><Relationship Id="rId24" Type="http://schemas.openxmlformats.org/officeDocument/2006/relationships/hyperlink" Target="https://portal.mwater.co/" TargetMode="External"/><Relationship Id="rId40" Type="http://schemas.openxmlformats.org/officeDocument/2006/relationships/hyperlink" Target="https://portal.mwater.co/" TargetMode="External"/><Relationship Id="rId45" Type="http://schemas.openxmlformats.org/officeDocument/2006/relationships/hyperlink" Target="https://portal.mwater.co/" TargetMode="External"/><Relationship Id="rId66" Type="http://schemas.openxmlformats.org/officeDocument/2006/relationships/hyperlink" Target="https://portal.mwater.co/" TargetMode="External"/><Relationship Id="rId87" Type="http://schemas.openxmlformats.org/officeDocument/2006/relationships/hyperlink" Target="https://portal.mwater.co/" TargetMode="External"/><Relationship Id="rId110" Type="http://schemas.openxmlformats.org/officeDocument/2006/relationships/hyperlink" Target="https://portal.mwater.co/" TargetMode="External"/><Relationship Id="rId61" Type="http://schemas.openxmlformats.org/officeDocument/2006/relationships/hyperlink" Target="https://portal.mwater.co/" TargetMode="External"/><Relationship Id="rId82" Type="http://schemas.openxmlformats.org/officeDocument/2006/relationships/hyperlink" Target="https://portal.mwater.co/" TargetMode="External"/><Relationship Id="rId19" Type="http://schemas.openxmlformats.org/officeDocument/2006/relationships/hyperlink" Target="https://portal.mwater.co/" TargetMode="External"/><Relationship Id="rId14" Type="http://schemas.openxmlformats.org/officeDocument/2006/relationships/hyperlink" Target="https://portal.mwater.co/" TargetMode="External"/><Relationship Id="rId30" Type="http://schemas.openxmlformats.org/officeDocument/2006/relationships/hyperlink" Target="https://portal.mwater.co/" TargetMode="External"/><Relationship Id="rId35" Type="http://schemas.openxmlformats.org/officeDocument/2006/relationships/hyperlink" Target="https://portal.mwater.co/" TargetMode="External"/><Relationship Id="rId56" Type="http://schemas.openxmlformats.org/officeDocument/2006/relationships/hyperlink" Target="https://portal.mwater.co/" TargetMode="External"/><Relationship Id="rId77" Type="http://schemas.openxmlformats.org/officeDocument/2006/relationships/hyperlink" Target="https://portal.mwater.co/" TargetMode="External"/><Relationship Id="rId100" Type="http://schemas.openxmlformats.org/officeDocument/2006/relationships/hyperlink" Target="https://portal.mwater.co/" TargetMode="External"/><Relationship Id="rId105" Type="http://schemas.openxmlformats.org/officeDocument/2006/relationships/hyperlink" Target="https://portal.mwater.co/" TargetMode="External"/><Relationship Id="rId8" Type="http://schemas.openxmlformats.org/officeDocument/2006/relationships/hyperlink" Target="https://portal.mwater.co/" TargetMode="External"/><Relationship Id="rId51" Type="http://schemas.openxmlformats.org/officeDocument/2006/relationships/hyperlink" Target="https://portal.mwater.co/" TargetMode="External"/><Relationship Id="rId72" Type="http://schemas.openxmlformats.org/officeDocument/2006/relationships/hyperlink" Target="https://portal.mwater.co/" TargetMode="External"/><Relationship Id="rId93" Type="http://schemas.openxmlformats.org/officeDocument/2006/relationships/hyperlink" Target="https://portal.mwater.co/" TargetMode="External"/><Relationship Id="rId98" Type="http://schemas.openxmlformats.org/officeDocument/2006/relationships/hyperlink" Target="https://portal.mwater.co/" TargetMode="External"/><Relationship Id="rId3" Type="http://schemas.openxmlformats.org/officeDocument/2006/relationships/hyperlink" Target="https://portal.mwater.co/" TargetMode="External"/><Relationship Id="rId25" Type="http://schemas.openxmlformats.org/officeDocument/2006/relationships/hyperlink" Target="https://portal.mwater.co/" TargetMode="External"/><Relationship Id="rId46" Type="http://schemas.openxmlformats.org/officeDocument/2006/relationships/hyperlink" Target="https://portal.mwater.co/" TargetMode="External"/><Relationship Id="rId67" Type="http://schemas.openxmlformats.org/officeDocument/2006/relationships/hyperlink" Target="https://portal.mwater.co/" TargetMode="External"/><Relationship Id="rId20" Type="http://schemas.openxmlformats.org/officeDocument/2006/relationships/hyperlink" Target="https://portal.mwater.co/" TargetMode="External"/><Relationship Id="rId41" Type="http://schemas.openxmlformats.org/officeDocument/2006/relationships/hyperlink" Target="https://portal.mwater.co/" TargetMode="External"/><Relationship Id="rId62" Type="http://schemas.openxmlformats.org/officeDocument/2006/relationships/hyperlink" Target="https://portal.mwater.co/" TargetMode="External"/><Relationship Id="rId83" Type="http://schemas.openxmlformats.org/officeDocument/2006/relationships/hyperlink" Target="https://portal.mwater.co/" TargetMode="External"/><Relationship Id="rId88" Type="http://schemas.openxmlformats.org/officeDocument/2006/relationships/hyperlink" Target="https://portal.mwater.co/" TargetMode="External"/><Relationship Id="rId111" Type="http://schemas.openxmlformats.org/officeDocument/2006/relationships/hyperlink" Target="https://portal.mwater.co/"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portal.mwater.co/" TargetMode="External"/><Relationship Id="rId21" Type="http://schemas.openxmlformats.org/officeDocument/2006/relationships/hyperlink" Target="https://portal.mwater.co/" TargetMode="External"/><Relationship Id="rId42" Type="http://schemas.openxmlformats.org/officeDocument/2006/relationships/hyperlink" Target="https://portal.mwater.co/" TargetMode="External"/><Relationship Id="rId47" Type="http://schemas.openxmlformats.org/officeDocument/2006/relationships/hyperlink" Target="https://portal.mwater.co/" TargetMode="External"/><Relationship Id="rId63" Type="http://schemas.openxmlformats.org/officeDocument/2006/relationships/hyperlink" Target="https://portal.mwater.co/" TargetMode="External"/><Relationship Id="rId68" Type="http://schemas.openxmlformats.org/officeDocument/2006/relationships/hyperlink" Target="https://portal.mwater.co/" TargetMode="External"/><Relationship Id="rId84" Type="http://schemas.openxmlformats.org/officeDocument/2006/relationships/hyperlink" Target="https://portal.mwater.co/" TargetMode="External"/><Relationship Id="rId89" Type="http://schemas.openxmlformats.org/officeDocument/2006/relationships/hyperlink" Target="https://portal.mwater.co/" TargetMode="External"/><Relationship Id="rId112" Type="http://schemas.openxmlformats.org/officeDocument/2006/relationships/vmlDrawing" Target="../drawings/vmlDrawing5.vml"/><Relationship Id="rId16" Type="http://schemas.openxmlformats.org/officeDocument/2006/relationships/hyperlink" Target="https://portal.mwater.co/" TargetMode="External"/><Relationship Id="rId107" Type="http://schemas.openxmlformats.org/officeDocument/2006/relationships/hyperlink" Target="https://portal.mwater.co/" TargetMode="External"/><Relationship Id="rId11" Type="http://schemas.openxmlformats.org/officeDocument/2006/relationships/hyperlink" Target="https://portal.mwater.co/" TargetMode="External"/><Relationship Id="rId32" Type="http://schemas.openxmlformats.org/officeDocument/2006/relationships/hyperlink" Target="https://portal.mwater.co/" TargetMode="External"/><Relationship Id="rId37" Type="http://schemas.openxmlformats.org/officeDocument/2006/relationships/hyperlink" Target="https://portal.mwater.co/" TargetMode="External"/><Relationship Id="rId53" Type="http://schemas.openxmlformats.org/officeDocument/2006/relationships/hyperlink" Target="https://portal.mwater.co/" TargetMode="External"/><Relationship Id="rId58" Type="http://schemas.openxmlformats.org/officeDocument/2006/relationships/hyperlink" Target="https://portal.mwater.co/" TargetMode="External"/><Relationship Id="rId74" Type="http://schemas.openxmlformats.org/officeDocument/2006/relationships/hyperlink" Target="https://portal.mwater.co/" TargetMode="External"/><Relationship Id="rId79" Type="http://schemas.openxmlformats.org/officeDocument/2006/relationships/hyperlink" Target="https://portal.mwater.co/" TargetMode="External"/><Relationship Id="rId102" Type="http://schemas.openxmlformats.org/officeDocument/2006/relationships/hyperlink" Target="https://portal.mwater.co/" TargetMode="External"/><Relationship Id="rId5" Type="http://schemas.openxmlformats.org/officeDocument/2006/relationships/hyperlink" Target="https://portal.mwater.co/" TargetMode="External"/><Relationship Id="rId90" Type="http://schemas.openxmlformats.org/officeDocument/2006/relationships/hyperlink" Target="https://portal.mwater.co/" TargetMode="External"/><Relationship Id="rId95" Type="http://schemas.openxmlformats.org/officeDocument/2006/relationships/hyperlink" Target="https://portal.mwater.co/" TargetMode="External"/><Relationship Id="rId22" Type="http://schemas.openxmlformats.org/officeDocument/2006/relationships/hyperlink" Target="https://portal.mwater.co/" TargetMode="External"/><Relationship Id="rId27" Type="http://schemas.openxmlformats.org/officeDocument/2006/relationships/hyperlink" Target="https://portal.mwater.co/" TargetMode="External"/><Relationship Id="rId43" Type="http://schemas.openxmlformats.org/officeDocument/2006/relationships/hyperlink" Target="https://portal.mwater.co/" TargetMode="External"/><Relationship Id="rId48" Type="http://schemas.openxmlformats.org/officeDocument/2006/relationships/hyperlink" Target="https://portal.mwater.co/" TargetMode="External"/><Relationship Id="rId64" Type="http://schemas.openxmlformats.org/officeDocument/2006/relationships/hyperlink" Target="https://portal.mwater.co/" TargetMode="External"/><Relationship Id="rId69" Type="http://schemas.openxmlformats.org/officeDocument/2006/relationships/hyperlink" Target="https://portal.mwater.co/" TargetMode="External"/><Relationship Id="rId113" Type="http://schemas.openxmlformats.org/officeDocument/2006/relationships/comments" Target="../comments5.xml"/><Relationship Id="rId80" Type="http://schemas.openxmlformats.org/officeDocument/2006/relationships/hyperlink" Target="https://portal.mwater.co/" TargetMode="External"/><Relationship Id="rId85" Type="http://schemas.openxmlformats.org/officeDocument/2006/relationships/hyperlink" Target="https://portal.mwater.co/" TargetMode="External"/><Relationship Id="rId12" Type="http://schemas.openxmlformats.org/officeDocument/2006/relationships/hyperlink" Target="https://portal.mwater.co/" TargetMode="External"/><Relationship Id="rId17" Type="http://schemas.openxmlformats.org/officeDocument/2006/relationships/hyperlink" Target="https://portal.mwater.co/" TargetMode="External"/><Relationship Id="rId33" Type="http://schemas.openxmlformats.org/officeDocument/2006/relationships/hyperlink" Target="https://portal.mwater.co/" TargetMode="External"/><Relationship Id="rId38" Type="http://schemas.openxmlformats.org/officeDocument/2006/relationships/hyperlink" Target="https://portal.mwater.co/" TargetMode="External"/><Relationship Id="rId59" Type="http://schemas.openxmlformats.org/officeDocument/2006/relationships/hyperlink" Target="https://portal.mwater.co/" TargetMode="External"/><Relationship Id="rId103" Type="http://schemas.openxmlformats.org/officeDocument/2006/relationships/hyperlink" Target="https://portal.mwater.co/" TargetMode="External"/><Relationship Id="rId108" Type="http://schemas.openxmlformats.org/officeDocument/2006/relationships/hyperlink" Target="https://portal.mwater.co/" TargetMode="External"/><Relationship Id="rId54" Type="http://schemas.openxmlformats.org/officeDocument/2006/relationships/hyperlink" Target="https://portal.mwater.co/" TargetMode="External"/><Relationship Id="rId70" Type="http://schemas.openxmlformats.org/officeDocument/2006/relationships/hyperlink" Target="https://portal.mwater.co/" TargetMode="External"/><Relationship Id="rId75" Type="http://schemas.openxmlformats.org/officeDocument/2006/relationships/hyperlink" Target="https://portal.mwater.co/" TargetMode="External"/><Relationship Id="rId91" Type="http://schemas.openxmlformats.org/officeDocument/2006/relationships/hyperlink" Target="https://portal.mwater.co/" TargetMode="External"/><Relationship Id="rId96" Type="http://schemas.openxmlformats.org/officeDocument/2006/relationships/hyperlink" Target="https://portal.mwater.co/" TargetMode="External"/><Relationship Id="rId1" Type="http://schemas.openxmlformats.org/officeDocument/2006/relationships/hyperlink" Target="https://portal.mwater.co/" TargetMode="External"/><Relationship Id="rId6" Type="http://schemas.openxmlformats.org/officeDocument/2006/relationships/hyperlink" Target="https://portal.mwater.co/" TargetMode="External"/><Relationship Id="rId15" Type="http://schemas.openxmlformats.org/officeDocument/2006/relationships/hyperlink" Target="https://portal.mwater.co/" TargetMode="External"/><Relationship Id="rId23" Type="http://schemas.openxmlformats.org/officeDocument/2006/relationships/hyperlink" Target="https://portal.mwater.co/" TargetMode="External"/><Relationship Id="rId28" Type="http://schemas.openxmlformats.org/officeDocument/2006/relationships/hyperlink" Target="https://portal.mwater.co/" TargetMode="External"/><Relationship Id="rId36" Type="http://schemas.openxmlformats.org/officeDocument/2006/relationships/hyperlink" Target="https://portal.mwater.co/" TargetMode="External"/><Relationship Id="rId49" Type="http://schemas.openxmlformats.org/officeDocument/2006/relationships/hyperlink" Target="https://portal.mwater.co/" TargetMode="External"/><Relationship Id="rId57" Type="http://schemas.openxmlformats.org/officeDocument/2006/relationships/hyperlink" Target="https://portal.mwater.co/" TargetMode="External"/><Relationship Id="rId106" Type="http://schemas.openxmlformats.org/officeDocument/2006/relationships/hyperlink" Target="https://portal.mwater.co/" TargetMode="External"/><Relationship Id="rId114" Type="http://schemas.microsoft.com/office/2017/10/relationships/threadedComment" Target="../threadedComments/threadedComment5.xml"/><Relationship Id="rId10" Type="http://schemas.openxmlformats.org/officeDocument/2006/relationships/hyperlink" Target="https://portal.mwater.co/" TargetMode="External"/><Relationship Id="rId31" Type="http://schemas.openxmlformats.org/officeDocument/2006/relationships/hyperlink" Target="https://portal.mwater.co/" TargetMode="External"/><Relationship Id="rId44" Type="http://schemas.openxmlformats.org/officeDocument/2006/relationships/hyperlink" Target="https://portal.mwater.co/" TargetMode="External"/><Relationship Id="rId52" Type="http://schemas.openxmlformats.org/officeDocument/2006/relationships/hyperlink" Target="https://portal.mwater.co/" TargetMode="External"/><Relationship Id="rId60" Type="http://schemas.openxmlformats.org/officeDocument/2006/relationships/hyperlink" Target="https://portal.mwater.co/" TargetMode="External"/><Relationship Id="rId65" Type="http://schemas.openxmlformats.org/officeDocument/2006/relationships/hyperlink" Target="https://portal.mwater.co/" TargetMode="External"/><Relationship Id="rId73" Type="http://schemas.openxmlformats.org/officeDocument/2006/relationships/hyperlink" Target="https://portal.mwater.co/" TargetMode="External"/><Relationship Id="rId78" Type="http://schemas.openxmlformats.org/officeDocument/2006/relationships/hyperlink" Target="https://portal.mwater.co/" TargetMode="External"/><Relationship Id="rId81" Type="http://schemas.openxmlformats.org/officeDocument/2006/relationships/hyperlink" Target="https://portal.mwater.co/" TargetMode="External"/><Relationship Id="rId86" Type="http://schemas.openxmlformats.org/officeDocument/2006/relationships/hyperlink" Target="https://portal.mwater.co/" TargetMode="External"/><Relationship Id="rId94" Type="http://schemas.openxmlformats.org/officeDocument/2006/relationships/hyperlink" Target="https://portal.mwater.co/" TargetMode="External"/><Relationship Id="rId99" Type="http://schemas.openxmlformats.org/officeDocument/2006/relationships/hyperlink" Target="https://portal.mwater.co/" TargetMode="External"/><Relationship Id="rId101" Type="http://schemas.openxmlformats.org/officeDocument/2006/relationships/hyperlink" Target="https://portal.mwater.co/" TargetMode="External"/><Relationship Id="rId4" Type="http://schemas.openxmlformats.org/officeDocument/2006/relationships/hyperlink" Target="https://portal.mwater.co/" TargetMode="External"/><Relationship Id="rId9" Type="http://schemas.openxmlformats.org/officeDocument/2006/relationships/hyperlink" Target="https://portal.mwater.co/" TargetMode="External"/><Relationship Id="rId13" Type="http://schemas.openxmlformats.org/officeDocument/2006/relationships/hyperlink" Target="https://portal.mwater.co/" TargetMode="External"/><Relationship Id="rId18" Type="http://schemas.openxmlformats.org/officeDocument/2006/relationships/hyperlink" Target="https://portal.mwater.co/" TargetMode="External"/><Relationship Id="rId39" Type="http://schemas.openxmlformats.org/officeDocument/2006/relationships/hyperlink" Target="https://portal.mwater.co/" TargetMode="External"/><Relationship Id="rId109" Type="http://schemas.openxmlformats.org/officeDocument/2006/relationships/hyperlink" Target="https://portal.mwater.co/" TargetMode="External"/><Relationship Id="rId34" Type="http://schemas.openxmlformats.org/officeDocument/2006/relationships/hyperlink" Target="https://portal.mwater.co/" TargetMode="External"/><Relationship Id="rId50" Type="http://schemas.openxmlformats.org/officeDocument/2006/relationships/hyperlink" Target="https://portal.mwater.co/" TargetMode="External"/><Relationship Id="rId55" Type="http://schemas.openxmlformats.org/officeDocument/2006/relationships/hyperlink" Target="https://portal.mwater.co/" TargetMode="External"/><Relationship Id="rId76" Type="http://schemas.openxmlformats.org/officeDocument/2006/relationships/hyperlink" Target="https://hanwash.sharepoint.com/:x:/s/MattsonProposal/ERploELozoBFkp9hbosD98cBcY3i4KXpNxx4spbxWAs0rg" TargetMode="External"/><Relationship Id="rId97" Type="http://schemas.openxmlformats.org/officeDocument/2006/relationships/hyperlink" Target="https://portal.mwater.co/" TargetMode="External"/><Relationship Id="rId104" Type="http://schemas.openxmlformats.org/officeDocument/2006/relationships/hyperlink" Target="https://portal.mwater.co/" TargetMode="External"/><Relationship Id="rId7" Type="http://schemas.openxmlformats.org/officeDocument/2006/relationships/hyperlink" Target="https://portal.mwater.co/" TargetMode="External"/><Relationship Id="rId71" Type="http://schemas.openxmlformats.org/officeDocument/2006/relationships/hyperlink" Target="https://portal.mwater.co/" TargetMode="External"/><Relationship Id="rId92" Type="http://schemas.openxmlformats.org/officeDocument/2006/relationships/hyperlink" Target="https://portal.mwater.co/" TargetMode="External"/><Relationship Id="rId2" Type="http://schemas.openxmlformats.org/officeDocument/2006/relationships/hyperlink" Target="https://portal.mwater.co/" TargetMode="External"/><Relationship Id="rId29" Type="http://schemas.openxmlformats.org/officeDocument/2006/relationships/hyperlink" Target="https://portal.mwater.co/" TargetMode="External"/><Relationship Id="rId24" Type="http://schemas.openxmlformats.org/officeDocument/2006/relationships/hyperlink" Target="https://portal.mwater.co/" TargetMode="External"/><Relationship Id="rId40" Type="http://schemas.openxmlformats.org/officeDocument/2006/relationships/hyperlink" Target="https://portal.mwater.co/" TargetMode="External"/><Relationship Id="rId45" Type="http://schemas.openxmlformats.org/officeDocument/2006/relationships/hyperlink" Target="https://portal.mwater.co/" TargetMode="External"/><Relationship Id="rId66" Type="http://schemas.openxmlformats.org/officeDocument/2006/relationships/hyperlink" Target="https://portal.mwater.co/" TargetMode="External"/><Relationship Id="rId87" Type="http://schemas.openxmlformats.org/officeDocument/2006/relationships/hyperlink" Target="https://portal.mwater.co/" TargetMode="External"/><Relationship Id="rId110" Type="http://schemas.openxmlformats.org/officeDocument/2006/relationships/hyperlink" Target="https://portal.mwater.co/" TargetMode="External"/><Relationship Id="rId61" Type="http://schemas.openxmlformats.org/officeDocument/2006/relationships/hyperlink" Target="https://portal.mwater.co/" TargetMode="External"/><Relationship Id="rId82" Type="http://schemas.openxmlformats.org/officeDocument/2006/relationships/hyperlink" Target="https://portal.mwater.co/" TargetMode="External"/><Relationship Id="rId19" Type="http://schemas.openxmlformats.org/officeDocument/2006/relationships/hyperlink" Target="https://portal.mwater.co/" TargetMode="External"/><Relationship Id="rId14" Type="http://schemas.openxmlformats.org/officeDocument/2006/relationships/hyperlink" Target="https://portal.mwater.co/" TargetMode="External"/><Relationship Id="rId30" Type="http://schemas.openxmlformats.org/officeDocument/2006/relationships/hyperlink" Target="https://portal.mwater.co/" TargetMode="External"/><Relationship Id="rId35" Type="http://schemas.openxmlformats.org/officeDocument/2006/relationships/hyperlink" Target="https://portal.mwater.co/" TargetMode="External"/><Relationship Id="rId56" Type="http://schemas.openxmlformats.org/officeDocument/2006/relationships/hyperlink" Target="https://portal.mwater.co/" TargetMode="External"/><Relationship Id="rId77" Type="http://schemas.openxmlformats.org/officeDocument/2006/relationships/hyperlink" Target="https://portal.mwater.co/" TargetMode="External"/><Relationship Id="rId100" Type="http://schemas.openxmlformats.org/officeDocument/2006/relationships/hyperlink" Target="https://portal.mwater.co/" TargetMode="External"/><Relationship Id="rId105" Type="http://schemas.openxmlformats.org/officeDocument/2006/relationships/hyperlink" Target="https://portal.mwater.co/" TargetMode="External"/><Relationship Id="rId8" Type="http://schemas.openxmlformats.org/officeDocument/2006/relationships/hyperlink" Target="https://portal.mwater.co/" TargetMode="External"/><Relationship Id="rId51" Type="http://schemas.openxmlformats.org/officeDocument/2006/relationships/hyperlink" Target="https://portal.mwater.co/" TargetMode="External"/><Relationship Id="rId72" Type="http://schemas.openxmlformats.org/officeDocument/2006/relationships/hyperlink" Target="https://portal.mwater.co/" TargetMode="External"/><Relationship Id="rId93" Type="http://schemas.openxmlformats.org/officeDocument/2006/relationships/hyperlink" Target="https://portal.mwater.co/" TargetMode="External"/><Relationship Id="rId98" Type="http://schemas.openxmlformats.org/officeDocument/2006/relationships/hyperlink" Target="https://portal.mwater.co/" TargetMode="External"/><Relationship Id="rId3" Type="http://schemas.openxmlformats.org/officeDocument/2006/relationships/hyperlink" Target="https://portal.mwater.co/" TargetMode="External"/><Relationship Id="rId25" Type="http://schemas.openxmlformats.org/officeDocument/2006/relationships/hyperlink" Target="https://portal.mwater.co/" TargetMode="External"/><Relationship Id="rId46" Type="http://schemas.openxmlformats.org/officeDocument/2006/relationships/hyperlink" Target="https://portal.mwater.co/" TargetMode="External"/><Relationship Id="rId67" Type="http://schemas.openxmlformats.org/officeDocument/2006/relationships/hyperlink" Target="https://portal.mwater.co/" TargetMode="External"/><Relationship Id="rId20" Type="http://schemas.openxmlformats.org/officeDocument/2006/relationships/hyperlink" Target="https://portal.mwater.co/" TargetMode="External"/><Relationship Id="rId41" Type="http://schemas.openxmlformats.org/officeDocument/2006/relationships/hyperlink" Target="https://portal.mwater.co/" TargetMode="External"/><Relationship Id="rId62" Type="http://schemas.openxmlformats.org/officeDocument/2006/relationships/hyperlink" Target="https://portal.mwater.co/" TargetMode="External"/><Relationship Id="rId83" Type="http://schemas.openxmlformats.org/officeDocument/2006/relationships/hyperlink" Target="https://portal.mwater.co/" TargetMode="External"/><Relationship Id="rId88" Type="http://schemas.openxmlformats.org/officeDocument/2006/relationships/hyperlink" Target="https://portal.mwater.co/" TargetMode="External"/><Relationship Id="rId111" Type="http://schemas.openxmlformats.org/officeDocument/2006/relationships/hyperlink" Target="https://portal.mwater.co/"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portal.mwater.co/" TargetMode="External"/><Relationship Id="rId21" Type="http://schemas.openxmlformats.org/officeDocument/2006/relationships/hyperlink" Target="https://portal.mwater.co/" TargetMode="External"/><Relationship Id="rId42" Type="http://schemas.openxmlformats.org/officeDocument/2006/relationships/hyperlink" Target="https://portal.mwater.co/" TargetMode="External"/><Relationship Id="rId47" Type="http://schemas.openxmlformats.org/officeDocument/2006/relationships/hyperlink" Target="https://portal.mwater.co/" TargetMode="External"/><Relationship Id="rId63" Type="http://schemas.openxmlformats.org/officeDocument/2006/relationships/hyperlink" Target="https://portal.mwater.co/" TargetMode="External"/><Relationship Id="rId68" Type="http://schemas.openxmlformats.org/officeDocument/2006/relationships/hyperlink" Target="https://portal.mwater.co/" TargetMode="External"/><Relationship Id="rId84" Type="http://schemas.openxmlformats.org/officeDocument/2006/relationships/hyperlink" Target="https://portal.mwater.co/" TargetMode="External"/><Relationship Id="rId89" Type="http://schemas.openxmlformats.org/officeDocument/2006/relationships/hyperlink" Target="https://portal.mwater.co/" TargetMode="External"/><Relationship Id="rId112" Type="http://schemas.openxmlformats.org/officeDocument/2006/relationships/vmlDrawing" Target="../drawings/vmlDrawing6.vml"/><Relationship Id="rId16" Type="http://schemas.openxmlformats.org/officeDocument/2006/relationships/hyperlink" Target="https://portal.mwater.co/" TargetMode="External"/><Relationship Id="rId107" Type="http://schemas.openxmlformats.org/officeDocument/2006/relationships/hyperlink" Target="https://portal.mwater.co/" TargetMode="External"/><Relationship Id="rId11" Type="http://schemas.openxmlformats.org/officeDocument/2006/relationships/hyperlink" Target="https://portal.mwater.co/" TargetMode="External"/><Relationship Id="rId32" Type="http://schemas.openxmlformats.org/officeDocument/2006/relationships/hyperlink" Target="https://portal.mwater.co/" TargetMode="External"/><Relationship Id="rId37" Type="http://schemas.openxmlformats.org/officeDocument/2006/relationships/hyperlink" Target="https://portal.mwater.co/" TargetMode="External"/><Relationship Id="rId53" Type="http://schemas.openxmlformats.org/officeDocument/2006/relationships/hyperlink" Target="https://portal.mwater.co/" TargetMode="External"/><Relationship Id="rId58" Type="http://schemas.openxmlformats.org/officeDocument/2006/relationships/hyperlink" Target="https://portal.mwater.co/" TargetMode="External"/><Relationship Id="rId74" Type="http://schemas.openxmlformats.org/officeDocument/2006/relationships/hyperlink" Target="https://portal.mwater.co/" TargetMode="External"/><Relationship Id="rId79" Type="http://schemas.openxmlformats.org/officeDocument/2006/relationships/hyperlink" Target="https://portal.mwater.co/" TargetMode="External"/><Relationship Id="rId102" Type="http://schemas.openxmlformats.org/officeDocument/2006/relationships/hyperlink" Target="https://portal.mwater.co/" TargetMode="External"/><Relationship Id="rId5" Type="http://schemas.openxmlformats.org/officeDocument/2006/relationships/hyperlink" Target="https://portal.mwater.co/" TargetMode="External"/><Relationship Id="rId90" Type="http://schemas.openxmlformats.org/officeDocument/2006/relationships/hyperlink" Target="https://portal.mwater.co/" TargetMode="External"/><Relationship Id="rId95" Type="http://schemas.openxmlformats.org/officeDocument/2006/relationships/hyperlink" Target="https://portal.mwater.co/" TargetMode="External"/><Relationship Id="rId22" Type="http://schemas.openxmlformats.org/officeDocument/2006/relationships/hyperlink" Target="https://portal.mwater.co/" TargetMode="External"/><Relationship Id="rId27" Type="http://schemas.openxmlformats.org/officeDocument/2006/relationships/hyperlink" Target="https://portal.mwater.co/" TargetMode="External"/><Relationship Id="rId43" Type="http://schemas.openxmlformats.org/officeDocument/2006/relationships/hyperlink" Target="https://portal.mwater.co/" TargetMode="External"/><Relationship Id="rId48" Type="http://schemas.openxmlformats.org/officeDocument/2006/relationships/hyperlink" Target="https://portal.mwater.co/" TargetMode="External"/><Relationship Id="rId64" Type="http://schemas.openxmlformats.org/officeDocument/2006/relationships/hyperlink" Target="https://portal.mwater.co/" TargetMode="External"/><Relationship Id="rId69" Type="http://schemas.openxmlformats.org/officeDocument/2006/relationships/hyperlink" Target="https://portal.mwater.co/" TargetMode="External"/><Relationship Id="rId113" Type="http://schemas.openxmlformats.org/officeDocument/2006/relationships/comments" Target="../comments6.xml"/><Relationship Id="rId80" Type="http://schemas.openxmlformats.org/officeDocument/2006/relationships/hyperlink" Target="https://portal.mwater.co/" TargetMode="External"/><Relationship Id="rId85" Type="http://schemas.openxmlformats.org/officeDocument/2006/relationships/hyperlink" Target="https://portal.mwater.co/" TargetMode="External"/><Relationship Id="rId12" Type="http://schemas.openxmlformats.org/officeDocument/2006/relationships/hyperlink" Target="https://portal.mwater.co/" TargetMode="External"/><Relationship Id="rId17" Type="http://schemas.openxmlformats.org/officeDocument/2006/relationships/hyperlink" Target="https://portal.mwater.co/" TargetMode="External"/><Relationship Id="rId33" Type="http://schemas.openxmlformats.org/officeDocument/2006/relationships/hyperlink" Target="https://portal.mwater.co/" TargetMode="External"/><Relationship Id="rId38" Type="http://schemas.openxmlformats.org/officeDocument/2006/relationships/hyperlink" Target="https://portal.mwater.co/" TargetMode="External"/><Relationship Id="rId59" Type="http://schemas.openxmlformats.org/officeDocument/2006/relationships/hyperlink" Target="https://portal.mwater.co/" TargetMode="External"/><Relationship Id="rId103" Type="http://schemas.openxmlformats.org/officeDocument/2006/relationships/hyperlink" Target="https://portal.mwater.co/" TargetMode="External"/><Relationship Id="rId108" Type="http://schemas.openxmlformats.org/officeDocument/2006/relationships/hyperlink" Target="https://portal.mwater.co/" TargetMode="External"/><Relationship Id="rId54" Type="http://schemas.openxmlformats.org/officeDocument/2006/relationships/hyperlink" Target="https://portal.mwater.co/" TargetMode="External"/><Relationship Id="rId70" Type="http://schemas.openxmlformats.org/officeDocument/2006/relationships/hyperlink" Target="https://portal.mwater.co/" TargetMode="External"/><Relationship Id="rId75" Type="http://schemas.openxmlformats.org/officeDocument/2006/relationships/hyperlink" Target="https://portal.mwater.co/" TargetMode="External"/><Relationship Id="rId91" Type="http://schemas.openxmlformats.org/officeDocument/2006/relationships/hyperlink" Target="https://portal.mwater.co/" TargetMode="External"/><Relationship Id="rId96" Type="http://schemas.openxmlformats.org/officeDocument/2006/relationships/hyperlink" Target="https://portal.mwater.co/" TargetMode="External"/><Relationship Id="rId1" Type="http://schemas.openxmlformats.org/officeDocument/2006/relationships/hyperlink" Target="https://portal.mwater.co/" TargetMode="External"/><Relationship Id="rId6" Type="http://schemas.openxmlformats.org/officeDocument/2006/relationships/hyperlink" Target="https://portal.mwater.co/" TargetMode="External"/><Relationship Id="rId15" Type="http://schemas.openxmlformats.org/officeDocument/2006/relationships/hyperlink" Target="https://portal.mwater.co/" TargetMode="External"/><Relationship Id="rId23" Type="http://schemas.openxmlformats.org/officeDocument/2006/relationships/hyperlink" Target="https://portal.mwater.co/" TargetMode="External"/><Relationship Id="rId28" Type="http://schemas.openxmlformats.org/officeDocument/2006/relationships/hyperlink" Target="https://portal.mwater.co/" TargetMode="External"/><Relationship Id="rId36" Type="http://schemas.openxmlformats.org/officeDocument/2006/relationships/hyperlink" Target="https://portal.mwater.co/" TargetMode="External"/><Relationship Id="rId49" Type="http://schemas.openxmlformats.org/officeDocument/2006/relationships/hyperlink" Target="https://portal.mwater.co/" TargetMode="External"/><Relationship Id="rId57" Type="http://schemas.openxmlformats.org/officeDocument/2006/relationships/hyperlink" Target="https://portal.mwater.co/" TargetMode="External"/><Relationship Id="rId106" Type="http://schemas.openxmlformats.org/officeDocument/2006/relationships/hyperlink" Target="https://portal.mwater.co/" TargetMode="External"/><Relationship Id="rId114" Type="http://schemas.microsoft.com/office/2017/10/relationships/threadedComment" Target="../threadedComments/threadedComment6.xml"/><Relationship Id="rId10" Type="http://schemas.openxmlformats.org/officeDocument/2006/relationships/hyperlink" Target="https://portal.mwater.co/" TargetMode="External"/><Relationship Id="rId31" Type="http://schemas.openxmlformats.org/officeDocument/2006/relationships/hyperlink" Target="https://portal.mwater.co/" TargetMode="External"/><Relationship Id="rId44" Type="http://schemas.openxmlformats.org/officeDocument/2006/relationships/hyperlink" Target="https://portal.mwater.co/" TargetMode="External"/><Relationship Id="rId52" Type="http://schemas.openxmlformats.org/officeDocument/2006/relationships/hyperlink" Target="https://portal.mwater.co/" TargetMode="External"/><Relationship Id="rId60" Type="http://schemas.openxmlformats.org/officeDocument/2006/relationships/hyperlink" Target="https://portal.mwater.co/" TargetMode="External"/><Relationship Id="rId65" Type="http://schemas.openxmlformats.org/officeDocument/2006/relationships/hyperlink" Target="https://portal.mwater.co/" TargetMode="External"/><Relationship Id="rId73" Type="http://schemas.openxmlformats.org/officeDocument/2006/relationships/hyperlink" Target="https://portal.mwater.co/" TargetMode="External"/><Relationship Id="rId78" Type="http://schemas.openxmlformats.org/officeDocument/2006/relationships/hyperlink" Target="https://portal.mwater.co/" TargetMode="External"/><Relationship Id="rId81" Type="http://schemas.openxmlformats.org/officeDocument/2006/relationships/hyperlink" Target="https://portal.mwater.co/" TargetMode="External"/><Relationship Id="rId86" Type="http://schemas.openxmlformats.org/officeDocument/2006/relationships/hyperlink" Target="https://portal.mwater.co/" TargetMode="External"/><Relationship Id="rId94" Type="http://schemas.openxmlformats.org/officeDocument/2006/relationships/hyperlink" Target="https://portal.mwater.co/" TargetMode="External"/><Relationship Id="rId99" Type="http://schemas.openxmlformats.org/officeDocument/2006/relationships/hyperlink" Target="https://portal.mwater.co/" TargetMode="External"/><Relationship Id="rId101" Type="http://schemas.openxmlformats.org/officeDocument/2006/relationships/hyperlink" Target="https://portal.mwater.co/" TargetMode="External"/><Relationship Id="rId4" Type="http://schemas.openxmlformats.org/officeDocument/2006/relationships/hyperlink" Target="https://portal.mwater.co/" TargetMode="External"/><Relationship Id="rId9" Type="http://schemas.openxmlformats.org/officeDocument/2006/relationships/hyperlink" Target="https://portal.mwater.co/" TargetMode="External"/><Relationship Id="rId13" Type="http://schemas.openxmlformats.org/officeDocument/2006/relationships/hyperlink" Target="https://portal.mwater.co/" TargetMode="External"/><Relationship Id="rId18" Type="http://schemas.openxmlformats.org/officeDocument/2006/relationships/hyperlink" Target="https://portal.mwater.co/" TargetMode="External"/><Relationship Id="rId39" Type="http://schemas.openxmlformats.org/officeDocument/2006/relationships/hyperlink" Target="https://portal.mwater.co/" TargetMode="External"/><Relationship Id="rId109" Type="http://schemas.openxmlformats.org/officeDocument/2006/relationships/hyperlink" Target="https://portal.mwater.co/" TargetMode="External"/><Relationship Id="rId34" Type="http://schemas.openxmlformats.org/officeDocument/2006/relationships/hyperlink" Target="https://portal.mwater.co/" TargetMode="External"/><Relationship Id="rId50" Type="http://schemas.openxmlformats.org/officeDocument/2006/relationships/hyperlink" Target="https://portal.mwater.co/" TargetMode="External"/><Relationship Id="rId55" Type="http://schemas.openxmlformats.org/officeDocument/2006/relationships/hyperlink" Target="https://portal.mwater.co/" TargetMode="External"/><Relationship Id="rId76" Type="http://schemas.openxmlformats.org/officeDocument/2006/relationships/hyperlink" Target="https://hanwash.sharepoint.com/:x:/s/MattsonProposal/ERploELozoBFkp9hbosD98cBcY3i4KXpNxx4spbxWAs0rg" TargetMode="External"/><Relationship Id="rId97" Type="http://schemas.openxmlformats.org/officeDocument/2006/relationships/hyperlink" Target="https://portal.mwater.co/" TargetMode="External"/><Relationship Id="rId104" Type="http://schemas.openxmlformats.org/officeDocument/2006/relationships/hyperlink" Target="https://portal.mwater.co/" TargetMode="External"/><Relationship Id="rId7" Type="http://schemas.openxmlformats.org/officeDocument/2006/relationships/hyperlink" Target="https://portal.mwater.co/" TargetMode="External"/><Relationship Id="rId71" Type="http://schemas.openxmlformats.org/officeDocument/2006/relationships/hyperlink" Target="https://portal.mwater.co/" TargetMode="External"/><Relationship Id="rId92" Type="http://schemas.openxmlformats.org/officeDocument/2006/relationships/hyperlink" Target="https://portal.mwater.co/" TargetMode="External"/><Relationship Id="rId2" Type="http://schemas.openxmlformats.org/officeDocument/2006/relationships/hyperlink" Target="https://portal.mwater.co/" TargetMode="External"/><Relationship Id="rId29" Type="http://schemas.openxmlformats.org/officeDocument/2006/relationships/hyperlink" Target="https://portal.mwater.co/" TargetMode="External"/><Relationship Id="rId24" Type="http://schemas.openxmlformats.org/officeDocument/2006/relationships/hyperlink" Target="https://portal.mwater.co/" TargetMode="External"/><Relationship Id="rId40" Type="http://schemas.openxmlformats.org/officeDocument/2006/relationships/hyperlink" Target="https://portal.mwater.co/" TargetMode="External"/><Relationship Id="rId45" Type="http://schemas.openxmlformats.org/officeDocument/2006/relationships/hyperlink" Target="https://portal.mwater.co/" TargetMode="External"/><Relationship Id="rId66" Type="http://schemas.openxmlformats.org/officeDocument/2006/relationships/hyperlink" Target="https://portal.mwater.co/" TargetMode="External"/><Relationship Id="rId87" Type="http://schemas.openxmlformats.org/officeDocument/2006/relationships/hyperlink" Target="https://portal.mwater.co/" TargetMode="External"/><Relationship Id="rId110" Type="http://schemas.openxmlformats.org/officeDocument/2006/relationships/hyperlink" Target="https://portal.mwater.co/" TargetMode="External"/><Relationship Id="rId61" Type="http://schemas.openxmlformats.org/officeDocument/2006/relationships/hyperlink" Target="https://portal.mwater.co/" TargetMode="External"/><Relationship Id="rId82" Type="http://schemas.openxmlformats.org/officeDocument/2006/relationships/hyperlink" Target="https://portal.mwater.co/" TargetMode="External"/><Relationship Id="rId19" Type="http://schemas.openxmlformats.org/officeDocument/2006/relationships/hyperlink" Target="https://portal.mwater.co/" TargetMode="External"/><Relationship Id="rId14" Type="http://schemas.openxmlformats.org/officeDocument/2006/relationships/hyperlink" Target="https://portal.mwater.co/" TargetMode="External"/><Relationship Id="rId30" Type="http://schemas.openxmlformats.org/officeDocument/2006/relationships/hyperlink" Target="https://portal.mwater.co/" TargetMode="External"/><Relationship Id="rId35" Type="http://schemas.openxmlformats.org/officeDocument/2006/relationships/hyperlink" Target="https://portal.mwater.co/" TargetMode="External"/><Relationship Id="rId56" Type="http://schemas.openxmlformats.org/officeDocument/2006/relationships/hyperlink" Target="https://portal.mwater.co/" TargetMode="External"/><Relationship Id="rId77" Type="http://schemas.openxmlformats.org/officeDocument/2006/relationships/hyperlink" Target="https://portal.mwater.co/" TargetMode="External"/><Relationship Id="rId100" Type="http://schemas.openxmlformats.org/officeDocument/2006/relationships/hyperlink" Target="https://portal.mwater.co/" TargetMode="External"/><Relationship Id="rId105" Type="http://schemas.openxmlformats.org/officeDocument/2006/relationships/hyperlink" Target="https://portal.mwater.co/" TargetMode="External"/><Relationship Id="rId8" Type="http://schemas.openxmlformats.org/officeDocument/2006/relationships/hyperlink" Target="https://portal.mwater.co/" TargetMode="External"/><Relationship Id="rId51" Type="http://schemas.openxmlformats.org/officeDocument/2006/relationships/hyperlink" Target="https://portal.mwater.co/" TargetMode="External"/><Relationship Id="rId72" Type="http://schemas.openxmlformats.org/officeDocument/2006/relationships/hyperlink" Target="https://portal.mwater.co/" TargetMode="External"/><Relationship Id="rId93" Type="http://schemas.openxmlformats.org/officeDocument/2006/relationships/hyperlink" Target="https://portal.mwater.co/" TargetMode="External"/><Relationship Id="rId98" Type="http://schemas.openxmlformats.org/officeDocument/2006/relationships/hyperlink" Target="https://portal.mwater.co/" TargetMode="External"/><Relationship Id="rId3" Type="http://schemas.openxmlformats.org/officeDocument/2006/relationships/hyperlink" Target="https://portal.mwater.co/" TargetMode="External"/><Relationship Id="rId25" Type="http://schemas.openxmlformats.org/officeDocument/2006/relationships/hyperlink" Target="https://portal.mwater.co/" TargetMode="External"/><Relationship Id="rId46" Type="http://schemas.openxmlformats.org/officeDocument/2006/relationships/hyperlink" Target="https://portal.mwater.co/" TargetMode="External"/><Relationship Id="rId67" Type="http://schemas.openxmlformats.org/officeDocument/2006/relationships/hyperlink" Target="https://portal.mwater.co/" TargetMode="External"/><Relationship Id="rId20" Type="http://schemas.openxmlformats.org/officeDocument/2006/relationships/hyperlink" Target="https://portal.mwater.co/" TargetMode="External"/><Relationship Id="rId41" Type="http://schemas.openxmlformats.org/officeDocument/2006/relationships/hyperlink" Target="https://portal.mwater.co/" TargetMode="External"/><Relationship Id="rId62" Type="http://schemas.openxmlformats.org/officeDocument/2006/relationships/hyperlink" Target="https://portal.mwater.co/" TargetMode="External"/><Relationship Id="rId83" Type="http://schemas.openxmlformats.org/officeDocument/2006/relationships/hyperlink" Target="https://portal.mwater.co/" TargetMode="External"/><Relationship Id="rId88" Type="http://schemas.openxmlformats.org/officeDocument/2006/relationships/hyperlink" Target="https://portal.mwater.co/" TargetMode="External"/><Relationship Id="rId111" Type="http://schemas.openxmlformats.org/officeDocument/2006/relationships/hyperlink" Target="https://portal.mwater.co/" TargetMode="Externa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hyperlink" Target="https://hanwash.sharepoint.com/:x:/s/MattsonProposal/ERploELozoBFkp9hbosD98cBcY3i4KXpNxx4spbxWAs0rg?e=hi0pzw" TargetMode="External"/><Relationship Id="rId4" Type="http://schemas.microsoft.com/office/2017/10/relationships/threadedComment" Target="../threadedComments/threadedComment8.xml"/></Relationships>
</file>

<file path=xl/worksheets/_rels/sheet12.xml.rels><?xml version="1.0" encoding="UTF-8" standalone="yes"?>
<Relationships xmlns="http://schemas.openxmlformats.org/package/2006/relationships"><Relationship Id="rId26" Type="http://schemas.openxmlformats.org/officeDocument/2006/relationships/hyperlink" Target="https://portal.mwater.co/" TargetMode="External"/><Relationship Id="rId21" Type="http://schemas.openxmlformats.org/officeDocument/2006/relationships/hyperlink" Target="https://portal.mwater.co/" TargetMode="External"/><Relationship Id="rId42" Type="http://schemas.openxmlformats.org/officeDocument/2006/relationships/hyperlink" Target="https://portal.mwater.co/" TargetMode="External"/><Relationship Id="rId47" Type="http://schemas.openxmlformats.org/officeDocument/2006/relationships/hyperlink" Target="https://portal.mwater.co/" TargetMode="External"/><Relationship Id="rId63" Type="http://schemas.openxmlformats.org/officeDocument/2006/relationships/hyperlink" Target="https://portal.mwater.co/" TargetMode="External"/><Relationship Id="rId68" Type="http://schemas.openxmlformats.org/officeDocument/2006/relationships/hyperlink" Target="https://portal.mwater.co/" TargetMode="External"/><Relationship Id="rId84" Type="http://schemas.openxmlformats.org/officeDocument/2006/relationships/hyperlink" Target="https://portal.mwater.co/" TargetMode="External"/><Relationship Id="rId89" Type="http://schemas.openxmlformats.org/officeDocument/2006/relationships/hyperlink" Target="https://portal.mwater.co/" TargetMode="External"/><Relationship Id="rId112" Type="http://schemas.openxmlformats.org/officeDocument/2006/relationships/vmlDrawing" Target="../drawings/vmlDrawing9.vml"/><Relationship Id="rId16" Type="http://schemas.openxmlformats.org/officeDocument/2006/relationships/hyperlink" Target="https://portal.mwater.co/" TargetMode="External"/><Relationship Id="rId107" Type="http://schemas.openxmlformats.org/officeDocument/2006/relationships/hyperlink" Target="https://portal.mwater.co/" TargetMode="External"/><Relationship Id="rId11" Type="http://schemas.openxmlformats.org/officeDocument/2006/relationships/hyperlink" Target="https://portal.mwater.co/" TargetMode="External"/><Relationship Id="rId32" Type="http://schemas.openxmlformats.org/officeDocument/2006/relationships/hyperlink" Target="https://portal.mwater.co/" TargetMode="External"/><Relationship Id="rId37" Type="http://schemas.openxmlformats.org/officeDocument/2006/relationships/hyperlink" Target="https://portal.mwater.co/" TargetMode="External"/><Relationship Id="rId53" Type="http://schemas.openxmlformats.org/officeDocument/2006/relationships/hyperlink" Target="https://portal.mwater.co/" TargetMode="External"/><Relationship Id="rId58" Type="http://schemas.openxmlformats.org/officeDocument/2006/relationships/hyperlink" Target="https://portal.mwater.co/" TargetMode="External"/><Relationship Id="rId74" Type="http://schemas.openxmlformats.org/officeDocument/2006/relationships/hyperlink" Target="https://portal.mwater.co/" TargetMode="External"/><Relationship Id="rId79" Type="http://schemas.openxmlformats.org/officeDocument/2006/relationships/hyperlink" Target="https://portal.mwater.co/" TargetMode="External"/><Relationship Id="rId102" Type="http://schemas.openxmlformats.org/officeDocument/2006/relationships/hyperlink" Target="https://portal.mwater.co/" TargetMode="External"/><Relationship Id="rId5" Type="http://schemas.openxmlformats.org/officeDocument/2006/relationships/hyperlink" Target="https://portal.mwater.co/" TargetMode="External"/><Relationship Id="rId90" Type="http://schemas.openxmlformats.org/officeDocument/2006/relationships/hyperlink" Target="https://portal.mwater.co/" TargetMode="External"/><Relationship Id="rId95" Type="http://schemas.openxmlformats.org/officeDocument/2006/relationships/hyperlink" Target="https://portal.mwater.co/" TargetMode="External"/><Relationship Id="rId22" Type="http://schemas.openxmlformats.org/officeDocument/2006/relationships/hyperlink" Target="https://portal.mwater.co/" TargetMode="External"/><Relationship Id="rId27" Type="http://schemas.openxmlformats.org/officeDocument/2006/relationships/hyperlink" Target="https://portal.mwater.co/" TargetMode="External"/><Relationship Id="rId43" Type="http://schemas.openxmlformats.org/officeDocument/2006/relationships/hyperlink" Target="https://portal.mwater.co/" TargetMode="External"/><Relationship Id="rId48" Type="http://schemas.openxmlformats.org/officeDocument/2006/relationships/hyperlink" Target="https://portal.mwater.co/" TargetMode="External"/><Relationship Id="rId64" Type="http://schemas.openxmlformats.org/officeDocument/2006/relationships/hyperlink" Target="https://portal.mwater.co/" TargetMode="External"/><Relationship Id="rId69" Type="http://schemas.openxmlformats.org/officeDocument/2006/relationships/hyperlink" Target="https://portal.mwater.co/" TargetMode="External"/><Relationship Id="rId113" Type="http://schemas.openxmlformats.org/officeDocument/2006/relationships/comments" Target="../comments9.xml"/><Relationship Id="rId80" Type="http://schemas.openxmlformats.org/officeDocument/2006/relationships/hyperlink" Target="https://portal.mwater.co/" TargetMode="External"/><Relationship Id="rId85" Type="http://schemas.openxmlformats.org/officeDocument/2006/relationships/hyperlink" Target="https://portal.mwater.co/" TargetMode="External"/><Relationship Id="rId12" Type="http://schemas.openxmlformats.org/officeDocument/2006/relationships/hyperlink" Target="https://portal.mwater.co/" TargetMode="External"/><Relationship Id="rId17" Type="http://schemas.openxmlformats.org/officeDocument/2006/relationships/hyperlink" Target="https://portal.mwater.co/" TargetMode="External"/><Relationship Id="rId33" Type="http://schemas.openxmlformats.org/officeDocument/2006/relationships/hyperlink" Target="https://portal.mwater.co/" TargetMode="External"/><Relationship Id="rId38" Type="http://schemas.openxmlformats.org/officeDocument/2006/relationships/hyperlink" Target="https://portal.mwater.co/" TargetMode="External"/><Relationship Id="rId59" Type="http://schemas.openxmlformats.org/officeDocument/2006/relationships/hyperlink" Target="https://portal.mwater.co/" TargetMode="External"/><Relationship Id="rId103" Type="http://schemas.openxmlformats.org/officeDocument/2006/relationships/hyperlink" Target="https://portal.mwater.co/" TargetMode="External"/><Relationship Id="rId108" Type="http://schemas.openxmlformats.org/officeDocument/2006/relationships/hyperlink" Target="https://portal.mwater.co/" TargetMode="External"/><Relationship Id="rId54" Type="http://schemas.openxmlformats.org/officeDocument/2006/relationships/hyperlink" Target="https://portal.mwater.co/" TargetMode="External"/><Relationship Id="rId70" Type="http://schemas.openxmlformats.org/officeDocument/2006/relationships/hyperlink" Target="https://portal.mwater.co/" TargetMode="External"/><Relationship Id="rId75" Type="http://schemas.openxmlformats.org/officeDocument/2006/relationships/hyperlink" Target="https://portal.mwater.co/" TargetMode="External"/><Relationship Id="rId91" Type="http://schemas.openxmlformats.org/officeDocument/2006/relationships/hyperlink" Target="https://portal.mwater.co/" TargetMode="External"/><Relationship Id="rId96" Type="http://schemas.openxmlformats.org/officeDocument/2006/relationships/hyperlink" Target="https://portal.mwater.co/" TargetMode="External"/><Relationship Id="rId1" Type="http://schemas.openxmlformats.org/officeDocument/2006/relationships/hyperlink" Target="https://portal.mwater.co/" TargetMode="External"/><Relationship Id="rId6" Type="http://schemas.openxmlformats.org/officeDocument/2006/relationships/hyperlink" Target="https://portal.mwater.co/" TargetMode="External"/><Relationship Id="rId15" Type="http://schemas.openxmlformats.org/officeDocument/2006/relationships/hyperlink" Target="https://portal.mwater.co/" TargetMode="External"/><Relationship Id="rId23" Type="http://schemas.openxmlformats.org/officeDocument/2006/relationships/hyperlink" Target="https://portal.mwater.co/" TargetMode="External"/><Relationship Id="rId28" Type="http://schemas.openxmlformats.org/officeDocument/2006/relationships/hyperlink" Target="https://portal.mwater.co/" TargetMode="External"/><Relationship Id="rId36" Type="http://schemas.openxmlformats.org/officeDocument/2006/relationships/hyperlink" Target="https://portal.mwater.co/" TargetMode="External"/><Relationship Id="rId49" Type="http://schemas.openxmlformats.org/officeDocument/2006/relationships/hyperlink" Target="https://portal.mwater.co/" TargetMode="External"/><Relationship Id="rId57" Type="http://schemas.openxmlformats.org/officeDocument/2006/relationships/hyperlink" Target="https://portal.mwater.co/" TargetMode="External"/><Relationship Id="rId106" Type="http://schemas.openxmlformats.org/officeDocument/2006/relationships/hyperlink" Target="https://portal.mwater.co/" TargetMode="External"/><Relationship Id="rId114" Type="http://schemas.microsoft.com/office/2017/10/relationships/threadedComment" Target="../threadedComments/threadedComment9.xml"/><Relationship Id="rId10" Type="http://schemas.openxmlformats.org/officeDocument/2006/relationships/hyperlink" Target="https://portal.mwater.co/" TargetMode="External"/><Relationship Id="rId31" Type="http://schemas.openxmlformats.org/officeDocument/2006/relationships/hyperlink" Target="https://portal.mwater.co/" TargetMode="External"/><Relationship Id="rId44" Type="http://schemas.openxmlformats.org/officeDocument/2006/relationships/hyperlink" Target="https://portal.mwater.co/" TargetMode="External"/><Relationship Id="rId52" Type="http://schemas.openxmlformats.org/officeDocument/2006/relationships/hyperlink" Target="https://portal.mwater.co/" TargetMode="External"/><Relationship Id="rId60" Type="http://schemas.openxmlformats.org/officeDocument/2006/relationships/hyperlink" Target="https://portal.mwater.co/" TargetMode="External"/><Relationship Id="rId65" Type="http://schemas.openxmlformats.org/officeDocument/2006/relationships/hyperlink" Target="https://portal.mwater.co/" TargetMode="External"/><Relationship Id="rId73" Type="http://schemas.openxmlformats.org/officeDocument/2006/relationships/hyperlink" Target="https://portal.mwater.co/" TargetMode="External"/><Relationship Id="rId78" Type="http://schemas.openxmlformats.org/officeDocument/2006/relationships/hyperlink" Target="https://portal.mwater.co/" TargetMode="External"/><Relationship Id="rId81" Type="http://schemas.openxmlformats.org/officeDocument/2006/relationships/hyperlink" Target="https://portal.mwater.co/" TargetMode="External"/><Relationship Id="rId86" Type="http://schemas.openxmlformats.org/officeDocument/2006/relationships/hyperlink" Target="https://portal.mwater.co/" TargetMode="External"/><Relationship Id="rId94" Type="http://schemas.openxmlformats.org/officeDocument/2006/relationships/hyperlink" Target="https://portal.mwater.co/" TargetMode="External"/><Relationship Id="rId99" Type="http://schemas.openxmlformats.org/officeDocument/2006/relationships/hyperlink" Target="https://portal.mwater.co/" TargetMode="External"/><Relationship Id="rId101" Type="http://schemas.openxmlformats.org/officeDocument/2006/relationships/hyperlink" Target="https://portal.mwater.co/" TargetMode="External"/><Relationship Id="rId4" Type="http://schemas.openxmlformats.org/officeDocument/2006/relationships/hyperlink" Target="https://portal.mwater.co/" TargetMode="External"/><Relationship Id="rId9" Type="http://schemas.openxmlformats.org/officeDocument/2006/relationships/hyperlink" Target="https://portal.mwater.co/" TargetMode="External"/><Relationship Id="rId13" Type="http://schemas.openxmlformats.org/officeDocument/2006/relationships/hyperlink" Target="https://portal.mwater.co/" TargetMode="External"/><Relationship Id="rId18" Type="http://schemas.openxmlformats.org/officeDocument/2006/relationships/hyperlink" Target="https://portal.mwater.co/" TargetMode="External"/><Relationship Id="rId39" Type="http://schemas.openxmlformats.org/officeDocument/2006/relationships/hyperlink" Target="https://portal.mwater.co/" TargetMode="External"/><Relationship Id="rId109" Type="http://schemas.openxmlformats.org/officeDocument/2006/relationships/hyperlink" Target="https://portal.mwater.co/" TargetMode="External"/><Relationship Id="rId34" Type="http://schemas.openxmlformats.org/officeDocument/2006/relationships/hyperlink" Target="https://portal.mwater.co/" TargetMode="External"/><Relationship Id="rId50" Type="http://schemas.openxmlformats.org/officeDocument/2006/relationships/hyperlink" Target="https://portal.mwater.co/" TargetMode="External"/><Relationship Id="rId55" Type="http://schemas.openxmlformats.org/officeDocument/2006/relationships/hyperlink" Target="https://portal.mwater.co/" TargetMode="External"/><Relationship Id="rId76" Type="http://schemas.openxmlformats.org/officeDocument/2006/relationships/hyperlink" Target="https://hanwash.sharepoint.com/:x:/s/MattsonProposal/ERploELozoBFkp9hbosD98cBcY3i4KXpNxx4spbxWAs0rg" TargetMode="External"/><Relationship Id="rId97" Type="http://schemas.openxmlformats.org/officeDocument/2006/relationships/hyperlink" Target="https://portal.mwater.co/" TargetMode="External"/><Relationship Id="rId104" Type="http://schemas.openxmlformats.org/officeDocument/2006/relationships/hyperlink" Target="https://portal.mwater.co/" TargetMode="External"/><Relationship Id="rId7" Type="http://schemas.openxmlformats.org/officeDocument/2006/relationships/hyperlink" Target="https://portal.mwater.co/" TargetMode="External"/><Relationship Id="rId71" Type="http://schemas.openxmlformats.org/officeDocument/2006/relationships/hyperlink" Target="https://portal.mwater.co/" TargetMode="External"/><Relationship Id="rId92" Type="http://schemas.openxmlformats.org/officeDocument/2006/relationships/hyperlink" Target="https://portal.mwater.co/" TargetMode="External"/><Relationship Id="rId2" Type="http://schemas.openxmlformats.org/officeDocument/2006/relationships/hyperlink" Target="https://portal.mwater.co/" TargetMode="External"/><Relationship Id="rId29" Type="http://schemas.openxmlformats.org/officeDocument/2006/relationships/hyperlink" Target="https://portal.mwater.co/" TargetMode="External"/><Relationship Id="rId24" Type="http://schemas.openxmlformats.org/officeDocument/2006/relationships/hyperlink" Target="https://portal.mwater.co/" TargetMode="External"/><Relationship Id="rId40" Type="http://schemas.openxmlformats.org/officeDocument/2006/relationships/hyperlink" Target="https://portal.mwater.co/" TargetMode="External"/><Relationship Id="rId45" Type="http://schemas.openxmlformats.org/officeDocument/2006/relationships/hyperlink" Target="https://portal.mwater.co/" TargetMode="External"/><Relationship Id="rId66" Type="http://schemas.openxmlformats.org/officeDocument/2006/relationships/hyperlink" Target="https://portal.mwater.co/" TargetMode="External"/><Relationship Id="rId87" Type="http://schemas.openxmlformats.org/officeDocument/2006/relationships/hyperlink" Target="https://portal.mwater.co/" TargetMode="External"/><Relationship Id="rId110" Type="http://schemas.openxmlformats.org/officeDocument/2006/relationships/hyperlink" Target="https://portal.mwater.co/" TargetMode="External"/><Relationship Id="rId61" Type="http://schemas.openxmlformats.org/officeDocument/2006/relationships/hyperlink" Target="https://portal.mwater.co/" TargetMode="External"/><Relationship Id="rId82" Type="http://schemas.openxmlformats.org/officeDocument/2006/relationships/hyperlink" Target="https://portal.mwater.co/" TargetMode="External"/><Relationship Id="rId19" Type="http://schemas.openxmlformats.org/officeDocument/2006/relationships/hyperlink" Target="https://portal.mwater.co/" TargetMode="External"/><Relationship Id="rId14" Type="http://schemas.openxmlformats.org/officeDocument/2006/relationships/hyperlink" Target="https://portal.mwater.co/" TargetMode="External"/><Relationship Id="rId30" Type="http://schemas.openxmlformats.org/officeDocument/2006/relationships/hyperlink" Target="https://portal.mwater.co/" TargetMode="External"/><Relationship Id="rId35" Type="http://schemas.openxmlformats.org/officeDocument/2006/relationships/hyperlink" Target="https://portal.mwater.co/" TargetMode="External"/><Relationship Id="rId56" Type="http://schemas.openxmlformats.org/officeDocument/2006/relationships/hyperlink" Target="https://portal.mwater.co/" TargetMode="External"/><Relationship Id="rId77" Type="http://schemas.openxmlformats.org/officeDocument/2006/relationships/hyperlink" Target="https://portal.mwater.co/" TargetMode="External"/><Relationship Id="rId100" Type="http://schemas.openxmlformats.org/officeDocument/2006/relationships/hyperlink" Target="https://portal.mwater.co/" TargetMode="External"/><Relationship Id="rId105" Type="http://schemas.openxmlformats.org/officeDocument/2006/relationships/hyperlink" Target="https://portal.mwater.co/" TargetMode="External"/><Relationship Id="rId8" Type="http://schemas.openxmlformats.org/officeDocument/2006/relationships/hyperlink" Target="https://portal.mwater.co/" TargetMode="External"/><Relationship Id="rId51" Type="http://schemas.openxmlformats.org/officeDocument/2006/relationships/hyperlink" Target="https://portal.mwater.co/" TargetMode="External"/><Relationship Id="rId72" Type="http://schemas.openxmlformats.org/officeDocument/2006/relationships/hyperlink" Target="https://portal.mwater.co/" TargetMode="External"/><Relationship Id="rId93" Type="http://schemas.openxmlformats.org/officeDocument/2006/relationships/hyperlink" Target="https://portal.mwater.co/" TargetMode="External"/><Relationship Id="rId98" Type="http://schemas.openxmlformats.org/officeDocument/2006/relationships/hyperlink" Target="https://portal.mwater.co/" TargetMode="External"/><Relationship Id="rId3" Type="http://schemas.openxmlformats.org/officeDocument/2006/relationships/hyperlink" Target="https://portal.mwater.co/" TargetMode="External"/><Relationship Id="rId25" Type="http://schemas.openxmlformats.org/officeDocument/2006/relationships/hyperlink" Target="https://portal.mwater.co/" TargetMode="External"/><Relationship Id="rId46" Type="http://schemas.openxmlformats.org/officeDocument/2006/relationships/hyperlink" Target="https://portal.mwater.co/" TargetMode="External"/><Relationship Id="rId67" Type="http://schemas.openxmlformats.org/officeDocument/2006/relationships/hyperlink" Target="https://portal.mwater.co/" TargetMode="External"/><Relationship Id="rId20" Type="http://schemas.openxmlformats.org/officeDocument/2006/relationships/hyperlink" Target="https://portal.mwater.co/" TargetMode="External"/><Relationship Id="rId41" Type="http://schemas.openxmlformats.org/officeDocument/2006/relationships/hyperlink" Target="https://portal.mwater.co/" TargetMode="External"/><Relationship Id="rId62" Type="http://schemas.openxmlformats.org/officeDocument/2006/relationships/hyperlink" Target="https://portal.mwater.co/" TargetMode="External"/><Relationship Id="rId83" Type="http://schemas.openxmlformats.org/officeDocument/2006/relationships/hyperlink" Target="https://portal.mwater.co/" TargetMode="External"/><Relationship Id="rId88" Type="http://schemas.openxmlformats.org/officeDocument/2006/relationships/hyperlink" Target="https://portal.mwater.co/" TargetMode="External"/><Relationship Id="rId111" Type="http://schemas.openxmlformats.org/officeDocument/2006/relationships/hyperlink" Target="https://portal.mwater.co/"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s://portal.mwater.co/" TargetMode="External"/><Relationship Id="rId21" Type="http://schemas.openxmlformats.org/officeDocument/2006/relationships/hyperlink" Target="https://portal.mwater.co/" TargetMode="External"/><Relationship Id="rId42" Type="http://schemas.openxmlformats.org/officeDocument/2006/relationships/hyperlink" Target="https://portal.mwater.co/" TargetMode="External"/><Relationship Id="rId47" Type="http://schemas.openxmlformats.org/officeDocument/2006/relationships/hyperlink" Target="https://portal.mwater.co/" TargetMode="External"/><Relationship Id="rId63" Type="http://schemas.openxmlformats.org/officeDocument/2006/relationships/hyperlink" Target="https://portal.mwater.co/" TargetMode="External"/><Relationship Id="rId68" Type="http://schemas.openxmlformats.org/officeDocument/2006/relationships/hyperlink" Target="https://portal.mwater.co/" TargetMode="External"/><Relationship Id="rId84" Type="http://schemas.openxmlformats.org/officeDocument/2006/relationships/hyperlink" Target="https://portal.mwater.co/" TargetMode="External"/><Relationship Id="rId89" Type="http://schemas.openxmlformats.org/officeDocument/2006/relationships/hyperlink" Target="https://portal.mwater.co/" TargetMode="External"/><Relationship Id="rId112" Type="http://schemas.openxmlformats.org/officeDocument/2006/relationships/vmlDrawing" Target="../drawings/vmlDrawing10.vml"/><Relationship Id="rId16" Type="http://schemas.openxmlformats.org/officeDocument/2006/relationships/hyperlink" Target="https://portal.mwater.co/" TargetMode="External"/><Relationship Id="rId107" Type="http://schemas.openxmlformats.org/officeDocument/2006/relationships/hyperlink" Target="https://portal.mwater.co/" TargetMode="External"/><Relationship Id="rId11" Type="http://schemas.openxmlformats.org/officeDocument/2006/relationships/hyperlink" Target="https://portal.mwater.co/" TargetMode="External"/><Relationship Id="rId32" Type="http://schemas.openxmlformats.org/officeDocument/2006/relationships/hyperlink" Target="https://portal.mwater.co/" TargetMode="External"/><Relationship Id="rId37" Type="http://schemas.openxmlformats.org/officeDocument/2006/relationships/hyperlink" Target="https://portal.mwater.co/" TargetMode="External"/><Relationship Id="rId53" Type="http://schemas.openxmlformats.org/officeDocument/2006/relationships/hyperlink" Target="https://portal.mwater.co/" TargetMode="External"/><Relationship Id="rId58" Type="http://schemas.openxmlformats.org/officeDocument/2006/relationships/hyperlink" Target="https://portal.mwater.co/" TargetMode="External"/><Relationship Id="rId74" Type="http://schemas.openxmlformats.org/officeDocument/2006/relationships/hyperlink" Target="https://portal.mwater.co/" TargetMode="External"/><Relationship Id="rId79" Type="http://schemas.openxmlformats.org/officeDocument/2006/relationships/hyperlink" Target="https://portal.mwater.co/" TargetMode="External"/><Relationship Id="rId102" Type="http://schemas.openxmlformats.org/officeDocument/2006/relationships/hyperlink" Target="https://portal.mwater.co/" TargetMode="External"/><Relationship Id="rId5" Type="http://schemas.openxmlformats.org/officeDocument/2006/relationships/hyperlink" Target="https://portal.mwater.co/" TargetMode="External"/><Relationship Id="rId90" Type="http://schemas.openxmlformats.org/officeDocument/2006/relationships/hyperlink" Target="https://portal.mwater.co/" TargetMode="External"/><Relationship Id="rId95" Type="http://schemas.openxmlformats.org/officeDocument/2006/relationships/hyperlink" Target="https://portal.mwater.co/" TargetMode="External"/><Relationship Id="rId22" Type="http://schemas.openxmlformats.org/officeDocument/2006/relationships/hyperlink" Target="https://portal.mwater.co/" TargetMode="External"/><Relationship Id="rId27" Type="http://schemas.openxmlformats.org/officeDocument/2006/relationships/hyperlink" Target="https://portal.mwater.co/" TargetMode="External"/><Relationship Id="rId43" Type="http://schemas.openxmlformats.org/officeDocument/2006/relationships/hyperlink" Target="https://portal.mwater.co/" TargetMode="External"/><Relationship Id="rId48" Type="http://schemas.openxmlformats.org/officeDocument/2006/relationships/hyperlink" Target="https://portal.mwater.co/" TargetMode="External"/><Relationship Id="rId64" Type="http://schemas.openxmlformats.org/officeDocument/2006/relationships/hyperlink" Target="https://portal.mwater.co/" TargetMode="External"/><Relationship Id="rId69" Type="http://schemas.openxmlformats.org/officeDocument/2006/relationships/hyperlink" Target="https://portal.mwater.co/" TargetMode="External"/><Relationship Id="rId113" Type="http://schemas.openxmlformats.org/officeDocument/2006/relationships/comments" Target="../comments10.xml"/><Relationship Id="rId80" Type="http://schemas.openxmlformats.org/officeDocument/2006/relationships/hyperlink" Target="https://portal.mwater.co/" TargetMode="External"/><Relationship Id="rId85" Type="http://schemas.openxmlformats.org/officeDocument/2006/relationships/hyperlink" Target="https://portal.mwater.co/" TargetMode="External"/><Relationship Id="rId12" Type="http://schemas.openxmlformats.org/officeDocument/2006/relationships/hyperlink" Target="https://portal.mwater.co/" TargetMode="External"/><Relationship Id="rId17" Type="http://schemas.openxmlformats.org/officeDocument/2006/relationships/hyperlink" Target="https://portal.mwater.co/" TargetMode="External"/><Relationship Id="rId33" Type="http://schemas.openxmlformats.org/officeDocument/2006/relationships/hyperlink" Target="https://portal.mwater.co/" TargetMode="External"/><Relationship Id="rId38" Type="http://schemas.openxmlformats.org/officeDocument/2006/relationships/hyperlink" Target="https://portal.mwater.co/" TargetMode="External"/><Relationship Id="rId59" Type="http://schemas.openxmlformats.org/officeDocument/2006/relationships/hyperlink" Target="https://portal.mwater.co/" TargetMode="External"/><Relationship Id="rId103" Type="http://schemas.openxmlformats.org/officeDocument/2006/relationships/hyperlink" Target="https://portal.mwater.co/" TargetMode="External"/><Relationship Id="rId108" Type="http://schemas.openxmlformats.org/officeDocument/2006/relationships/hyperlink" Target="https://portal.mwater.co/" TargetMode="External"/><Relationship Id="rId54" Type="http://schemas.openxmlformats.org/officeDocument/2006/relationships/hyperlink" Target="https://portal.mwater.co/" TargetMode="External"/><Relationship Id="rId70" Type="http://schemas.openxmlformats.org/officeDocument/2006/relationships/hyperlink" Target="https://portal.mwater.co/" TargetMode="External"/><Relationship Id="rId75" Type="http://schemas.openxmlformats.org/officeDocument/2006/relationships/hyperlink" Target="https://portal.mwater.co/" TargetMode="External"/><Relationship Id="rId91" Type="http://schemas.openxmlformats.org/officeDocument/2006/relationships/hyperlink" Target="https://portal.mwater.co/" TargetMode="External"/><Relationship Id="rId96" Type="http://schemas.openxmlformats.org/officeDocument/2006/relationships/hyperlink" Target="https://portal.mwater.co/" TargetMode="External"/><Relationship Id="rId1" Type="http://schemas.openxmlformats.org/officeDocument/2006/relationships/hyperlink" Target="https://portal.mwater.co/" TargetMode="External"/><Relationship Id="rId6" Type="http://schemas.openxmlformats.org/officeDocument/2006/relationships/hyperlink" Target="https://portal.mwater.co/" TargetMode="External"/><Relationship Id="rId15" Type="http://schemas.openxmlformats.org/officeDocument/2006/relationships/hyperlink" Target="https://portal.mwater.co/" TargetMode="External"/><Relationship Id="rId23" Type="http://schemas.openxmlformats.org/officeDocument/2006/relationships/hyperlink" Target="https://portal.mwater.co/" TargetMode="External"/><Relationship Id="rId28" Type="http://schemas.openxmlformats.org/officeDocument/2006/relationships/hyperlink" Target="https://portal.mwater.co/" TargetMode="External"/><Relationship Id="rId36" Type="http://schemas.openxmlformats.org/officeDocument/2006/relationships/hyperlink" Target="https://portal.mwater.co/" TargetMode="External"/><Relationship Id="rId49" Type="http://schemas.openxmlformats.org/officeDocument/2006/relationships/hyperlink" Target="https://portal.mwater.co/" TargetMode="External"/><Relationship Id="rId57" Type="http://schemas.openxmlformats.org/officeDocument/2006/relationships/hyperlink" Target="https://portal.mwater.co/" TargetMode="External"/><Relationship Id="rId106" Type="http://schemas.openxmlformats.org/officeDocument/2006/relationships/hyperlink" Target="https://portal.mwater.co/" TargetMode="External"/><Relationship Id="rId114" Type="http://schemas.microsoft.com/office/2017/10/relationships/threadedComment" Target="../threadedComments/threadedComment10.xml"/><Relationship Id="rId10" Type="http://schemas.openxmlformats.org/officeDocument/2006/relationships/hyperlink" Target="https://portal.mwater.co/" TargetMode="External"/><Relationship Id="rId31" Type="http://schemas.openxmlformats.org/officeDocument/2006/relationships/hyperlink" Target="https://portal.mwater.co/" TargetMode="External"/><Relationship Id="rId44" Type="http://schemas.openxmlformats.org/officeDocument/2006/relationships/hyperlink" Target="https://portal.mwater.co/" TargetMode="External"/><Relationship Id="rId52" Type="http://schemas.openxmlformats.org/officeDocument/2006/relationships/hyperlink" Target="https://portal.mwater.co/" TargetMode="External"/><Relationship Id="rId60" Type="http://schemas.openxmlformats.org/officeDocument/2006/relationships/hyperlink" Target="https://portal.mwater.co/" TargetMode="External"/><Relationship Id="rId65" Type="http://schemas.openxmlformats.org/officeDocument/2006/relationships/hyperlink" Target="https://portal.mwater.co/" TargetMode="External"/><Relationship Id="rId73" Type="http://schemas.openxmlformats.org/officeDocument/2006/relationships/hyperlink" Target="https://portal.mwater.co/" TargetMode="External"/><Relationship Id="rId78" Type="http://schemas.openxmlformats.org/officeDocument/2006/relationships/hyperlink" Target="https://portal.mwater.co/" TargetMode="External"/><Relationship Id="rId81" Type="http://schemas.openxmlformats.org/officeDocument/2006/relationships/hyperlink" Target="https://portal.mwater.co/" TargetMode="External"/><Relationship Id="rId86" Type="http://schemas.openxmlformats.org/officeDocument/2006/relationships/hyperlink" Target="https://portal.mwater.co/" TargetMode="External"/><Relationship Id="rId94" Type="http://schemas.openxmlformats.org/officeDocument/2006/relationships/hyperlink" Target="https://portal.mwater.co/" TargetMode="External"/><Relationship Id="rId99" Type="http://schemas.openxmlformats.org/officeDocument/2006/relationships/hyperlink" Target="https://portal.mwater.co/" TargetMode="External"/><Relationship Id="rId101" Type="http://schemas.openxmlformats.org/officeDocument/2006/relationships/hyperlink" Target="https://portal.mwater.co/" TargetMode="External"/><Relationship Id="rId4" Type="http://schemas.openxmlformats.org/officeDocument/2006/relationships/hyperlink" Target="https://portal.mwater.co/" TargetMode="External"/><Relationship Id="rId9" Type="http://schemas.openxmlformats.org/officeDocument/2006/relationships/hyperlink" Target="https://portal.mwater.co/" TargetMode="External"/><Relationship Id="rId13" Type="http://schemas.openxmlformats.org/officeDocument/2006/relationships/hyperlink" Target="https://portal.mwater.co/" TargetMode="External"/><Relationship Id="rId18" Type="http://schemas.openxmlformats.org/officeDocument/2006/relationships/hyperlink" Target="https://portal.mwater.co/" TargetMode="External"/><Relationship Id="rId39" Type="http://schemas.openxmlformats.org/officeDocument/2006/relationships/hyperlink" Target="https://portal.mwater.co/" TargetMode="External"/><Relationship Id="rId109" Type="http://schemas.openxmlformats.org/officeDocument/2006/relationships/hyperlink" Target="https://portal.mwater.co/" TargetMode="External"/><Relationship Id="rId34" Type="http://schemas.openxmlformats.org/officeDocument/2006/relationships/hyperlink" Target="https://portal.mwater.co/" TargetMode="External"/><Relationship Id="rId50" Type="http://schemas.openxmlformats.org/officeDocument/2006/relationships/hyperlink" Target="https://portal.mwater.co/" TargetMode="External"/><Relationship Id="rId55" Type="http://schemas.openxmlformats.org/officeDocument/2006/relationships/hyperlink" Target="https://portal.mwater.co/" TargetMode="External"/><Relationship Id="rId76" Type="http://schemas.openxmlformats.org/officeDocument/2006/relationships/hyperlink" Target="https://hanwash.sharepoint.com/:x:/s/MattsonProposal/ERploELozoBFkp9hbosD98cBcY3i4KXpNxx4spbxWAs0rg" TargetMode="External"/><Relationship Id="rId97" Type="http://schemas.openxmlformats.org/officeDocument/2006/relationships/hyperlink" Target="https://portal.mwater.co/" TargetMode="External"/><Relationship Id="rId104" Type="http://schemas.openxmlformats.org/officeDocument/2006/relationships/hyperlink" Target="https://portal.mwater.co/" TargetMode="External"/><Relationship Id="rId7" Type="http://schemas.openxmlformats.org/officeDocument/2006/relationships/hyperlink" Target="https://portal.mwater.co/" TargetMode="External"/><Relationship Id="rId71" Type="http://schemas.openxmlformats.org/officeDocument/2006/relationships/hyperlink" Target="https://portal.mwater.co/" TargetMode="External"/><Relationship Id="rId92" Type="http://schemas.openxmlformats.org/officeDocument/2006/relationships/hyperlink" Target="https://portal.mwater.co/" TargetMode="External"/><Relationship Id="rId2" Type="http://schemas.openxmlformats.org/officeDocument/2006/relationships/hyperlink" Target="https://portal.mwater.co/" TargetMode="External"/><Relationship Id="rId29" Type="http://schemas.openxmlformats.org/officeDocument/2006/relationships/hyperlink" Target="https://portal.mwater.co/" TargetMode="External"/><Relationship Id="rId24" Type="http://schemas.openxmlformats.org/officeDocument/2006/relationships/hyperlink" Target="https://portal.mwater.co/" TargetMode="External"/><Relationship Id="rId40" Type="http://schemas.openxmlformats.org/officeDocument/2006/relationships/hyperlink" Target="https://portal.mwater.co/" TargetMode="External"/><Relationship Id="rId45" Type="http://schemas.openxmlformats.org/officeDocument/2006/relationships/hyperlink" Target="https://portal.mwater.co/" TargetMode="External"/><Relationship Id="rId66" Type="http://schemas.openxmlformats.org/officeDocument/2006/relationships/hyperlink" Target="https://portal.mwater.co/" TargetMode="External"/><Relationship Id="rId87" Type="http://schemas.openxmlformats.org/officeDocument/2006/relationships/hyperlink" Target="https://portal.mwater.co/" TargetMode="External"/><Relationship Id="rId110" Type="http://schemas.openxmlformats.org/officeDocument/2006/relationships/hyperlink" Target="https://portal.mwater.co/" TargetMode="External"/><Relationship Id="rId61" Type="http://schemas.openxmlformats.org/officeDocument/2006/relationships/hyperlink" Target="https://portal.mwater.co/" TargetMode="External"/><Relationship Id="rId82" Type="http://schemas.openxmlformats.org/officeDocument/2006/relationships/hyperlink" Target="https://portal.mwater.co/" TargetMode="External"/><Relationship Id="rId19" Type="http://schemas.openxmlformats.org/officeDocument/2006/relationships/hyperlink" Target="https://portal.mwater.co/" TargetMode="External"/><Relationship Id="rId14" Type="http://schemas.openxmlformats.org/officeDocument/2006/relationships/hyperlink" Target="https://portal.mwater.co/" TargetMode="External"/><Relationship Id="rId30" Type="http://schemas.openxmlformats.org/officeDocument/2006/relationships/hyperlink" Target="https://portal.mwater.co/" TargetMode="External"/><Relationship Id="rId35" Type="http://schemas.openxmlformats.org/officeDocument/2006/relationships/hyperlink" Target="https://portal.mwater.co/" TargetMode="External"/><Relationship Id="rId56" Type="http://schemas.openxmlformats.org/officeDocument/2006/relationships/hyperlink" Target="https://portal.mwater.co/" TargetMode="External"/><Relationship Id="rId77" Type="http://schemas.openxmlformats.org/officeDocument/2006/relationships/hyperlink" Target="https://portal.mwater.co/" TargetMode="External"/><Relationship Id="rId100" Type="http://schemas.openxmlformats.org/officeDocument/2006/relationships/hyperlink" Target="https://portal.mwater.co/" TargetMode="External"/><Relationship Id="rId105" Type="http://schemas.openxmlformats.org/officeDocument/2006/relationships/hyperlink" Target="https://portal.mwater.co/" TargetMode="External"/><Relationship Id="rId8" Type="http://schemas.openxmlformats.org/officeDocument/2006/relationships/hyperlink" Target="https://portal.mwater.co/" TargetMode="External"/><Relationship Id="rId51" Type="http://schemas.openxmlformats.org/officeDocument/2006/relationships/hyperlink" Target="https://portal.mwater.co/" TargetMode="External"/><Relationship Id="rId72" Type="http://schemas.openxmlformats.org/officeDocument/2006/relationships/hyperlink" Target="https://portal.mwater.co/" TargetMode="External"/><Relationship Id="rId93" Type="http://schemas.openxmlformats.org/officeDocument/2006/relationships/hyperlink" Target="https://portal.mwater.co/" TargetMode="External"/><Relationship Id="rId98" Type="http://schemas.openxmlformats.org/officeDocument/2006/relationships/hyperlink" Target="https://portal.mwater.co/" TargetMode="External"/><Relationship Id="rId3" Type="http://schemas.openxmlformats.org/officeDocument/2006/relationships/hyperlink" Target="https://portal.mwater.co/" TargetMode="External"/><Relationship Id="rId25" Type="http://schemas.openxmlformats.org/officeDocument/2006/relationships/hyperlink" Target="https://portal.mwater.co/" TargetMode="External"/><Relationship Id="rId46" Type="http://schemas.openxmlformats.org/officeDocument/2006/relationships/hyperlink" Target="https://portal.mwater.co/" TargetMode="External"/><Relationship Id="rId67" Type="http://schemas.openxmlformats.org/officeDocument/2006/relationships/hyperlink" Target="https://portal.mwater.co/" TargetMode="External"/><Relationship Id="rId20" Type="http://schemas.openxmlformats.org/officeDocument/2006/relationships/hyperlink" Target="https://portal.mwater.co/" TargetMode="External"/><Relationship Id="rId41" Type="http://schemas.openxmlformats.org/officeDocument/2006/relationships/hyperlink" Target="https://portal.mwater.co/" TargetMode="External"/><Relationship Id="rId62" Type="http://schemas.openxmlformats.org/officeDocument/2006/relationships/hyperlink" Target="https://portal.mwater.co/" TargetMode="External"/><Relationship Id="rId83" Type="http://schemas.openxmlformats.org/officeDocument/2006/relationships/hyperlink" Target="https://portal.mwater.co/" TargetMode="External"/><Relationship Id="rId88" Type="http://schemas.openxmlformats.org/officeDocument/2006/relationships/hyperlink" Target="https://portal.mwater.co/" TargetMode="External"/><Relationship Id="rId111" Type="http://schemas.openxmlformats.org/officeDocument/2006/relationships/hyperlink" Target="https://portal.mwater.co/" TargetMode="External"/></Relationships>
</file>

<file path=xl/worksheets/_rels/sheet14.xml.rels><?xml version="1.0" encoding="UTF-8" standalone="yes"?>
<Relationships xmlns="http://schemas.openxmlformats.org/package/2006/relationships"><Relationship Id="rId26" Type="http://schemas.openxmlformats.org/officeDocument/2006/relationships/hyperlink" Target="https://portal.mwater.co/" TargetMode="External"/><Relationship Id="rId21" Type="http://schemas.openxmlformats.org/officeDocument/2006/relationships/hyperlink" Target="https://portal.mwater.co/" TargetMode="External"/><Relationship Id="rId42" Type="http://schemas.openxmlformats.org/officeDocument/2006/relationships/hyperlink" Target="https://portal.mwater.co/" TargetMode="External"/><Relationship Id="rId47" Type="http://schemas.openxmlformats.org/officeDocument/2006/relationships/hyperlink" Target="https://portal.mwater.co/" TargetMode="External"/><Relationship Id="rId63" Type="http://schemas.openxmlformats.org/officeDocument/2006/relationships/hyperlink" Target="https://portal.mwater.co/" TargetMode="External"/><Relationship Id="rId68" Type="http://schemas.openxmlformats.org/officeDocument/2006/relationships/hyperlink" Target="https://portal.mwater.co/" TargetMode="External"/><Relationship Id="rId84" Type="http://schemas.openxmlformats.org/officeDocument/2006/relationships/hyperlink" Target="https://portal.mwater.co/" TargetMode="External"/><Relationship Id="rId89" Type="http://schemas.openxmlformats.org/officeDocument/2006/relationships/hyperlink" Target="https://portal.mwater.co/" TargetMode="External"/><Relationship Id="rId112" Type="http://schemas.openxmlformats.org/officeDocument/2006/relationships/vmlDrawing" Target="../drawings/vmlDrawing11.vml"/><Relationship Id="rId16" Type="http://schemas.openxmlformats.org/officeDocument/2006/relationships/hyperlink" Target="https://portal.mwater.co/" TargetMode="External"/><Relationship Id="rId107" Type="http://schemas.openxmlformats.org/officeDocument/2006/relationships/hyperlink" Target="https://portal.mwater.co/" TargetMode="External"/><Relationship Id="rId11" Type="http://schemas.openxmlformats.org/officeDocument/2006/relationships/hyperlink" Target="https://portal.mwater.co/" TargetMode="External"/><Relationship Id="rId32" Type="http://schemas.openxmlformats.org/officeDocument/2006/relationships/hyperlink" Target="https://portal.mwater.co/" TargetMode="External"/><Relationship Id="rId37" Type="http://schemas.openxmlformats.org/officeDocument/2006/relationships/hyperlink" Target="https://portal.mwater.co/" TargetMode="External"/><Relationship Id="rId53" Type="http://schemas.openxmlformats.org/officeDocument/2006/relationships/hyperlink" Target="https://portal.mwater.co/" TargetMode="External"/><Relationship Id="rId58" Type="http://schemas.openxmlformats.org/officeDocument/2006/relationships/hyperlink" Target="https://portal.mwater.co/" TargetMode="External"/><Relationship Id="rId74" Type="http://schemas.openxmlformats.org/officeDocument/2006/relationships/hyperlink" Target="https://portal.mwater.co/" TargetMode="External"/><Relationship Id="rId79" Type="http://schemas.openxmlformats.org/officeDocument/2006/relationships/hyperlink" Target="https://portal.mwater.co/" TargetMode="External"/><Relationship Id="rId102" Type="http://schemas.openxmlformats.org/officeDocument/2006/relationships/hyperlink" Target="https://portal.mwater.co/" TargetMode="External"/><Relationship Id="rId5" Type="http://schemas.openxmlformats.org/officeDocument/2006/relationships/hyperlink" Target="https://portal.mwater.co/" TargetMode="External"/><Relationship Id="rId90" Type="http://schemas.openxmlformats.org/officeDocument/2006/relationships/hyperlink" Target="https://portal.mwater.co/" TargetMode="External"/><Relationship Id="rId95" Type="http://schemas.openxmlformats.org/officeDocument/2006/relationships/hyperlink" Target="https://portal.mwater.co/" TargetMode="External"/><Relationship Id="rId22" Type="http://schemas.openxmlformats.org/officeDocument/2006/relationships/hyperlink" Target="https://portal.mwater.co/" TargetMode="External"/><Relationship Id="rId27" Type="http://schemas.openxmlformats.org/officeDocument/2006/relationships/hyperlink" Target="https://portal.mwater.co/" TargetMode="External"/><Relationship Id="rId43" Type="http://schemas.openxmlformats.org/officeDocument/2006/relationships/hyperlink" Target="https://portal.mwater.co/" TargetMode="External"/><Relationship Id="rId48" Type="http://schemas.openxmlformats.org/officeDocument/2006/relationships/hyperlink" Target="https://portal.mwater.co/" TargetMode="External"/><Relationship Id="rId64" Type="http://schemas.openxmlformats.org/officeDocument/2006/relationships/hyperlink" Target="https://portal.mwater.co/" TargetMode="External"/><Relationship Id="rId69" Type="http://schemas.openxmlformats.org/officeDocument/2006/relationships/hyperlink" Target="https://portal.mwater.co/" TargetMode="External"/><Relationship Id="rId113" Type="http://schemas.openxmlformats.org/officeDocument/2006/relationships/comments" Target="../comments11.xml"/><Relationship Id="rId80" Type="http://schemas.openxmlformats.org/officeDocument/2006/relationships/hyperlink" Target="https://portal.mwater.co/" TargetMode="External"/><Relationship Id="rId85" Type="http://schemas.openxmlformats.org/officeDocument/2006/relationships/hyperlink" Target="https://portal.mwater.co/" TargetMode="External"/><Relationship Id="rId12" Type="http://schemas.openxmlformats.org/officeDocument/2006/relationships/hyperlink" Target="https://portal.mwater.co/" TargetMode="External"/><Relationship Id="rId17" Type="http://schemas.openxmlformats.org/officeDocument/2006/relationships/hyperlink" Target="https://portal.mwater.co/" TargetMode="External"/><Relationship Id="rId33" Type="http://schemas.openxmlformats.org/officeDocument/2006/relationships/hyperlink" Target="https://portal.mwater.co/" TargetMode="External"/><Relationship Id="rId38" Type="http://schemas.openxmlformats.org/officeDocument/2006/relationships/hyperlink" Target="https://portal.mwater.co/" TargetMode="External"/><Relationship Id="rId59" Type="http://schemas.openxmlformats.org/officeDocument/2006/relationships/hyperlink" Target="https://portal.mwater.co/" TargetMode="External"/><Relationship Id="rId103" Type="http://schemas.openxmlformats.org/officeDocument/2006/relationships/hyperlink" Target="https://portal.mwater.co/" TargetMode="External"/><Relationship Id="rId108" Type="http://schemas.openxmlformats.org/officeDocument/2006/relationships/hyperlink" Target="https://portal.mwater.co/" TargetMode="External"/><Relationship Id="rId54" Type="http://schemas.openxmlformats.org/officeDocument/2006/relationships/hyperlink" Target="https://portal.mwater.co/" TargetMode="External"/><Relationship Id="rId70" Type="http://schemas.openxmlformats.org/officeDocument/2006/relationships/hyperlink" Target="https://portal.mwater.co/" TargetMode="External"/><Relationship Id="rId75" Type="http://schemas.openxmlformats.org/officeDocument/2006/relationships/hyperlink" Target="https://portal.mwater.co/" TargetMode="External"/><Relationship Id="rId91" Type="http://schemas.openxmlformats.org/officeDocument/2006/relationships/hyperlink" Target="https://portal.mwater.co/" TargetMode="External"/><Relationship Id="rId96" Type="http://schemas.openxmlformats.org/officeDocument/2006/relationships/hyperlink" Target="https://portal.mwater.co/" TargetMode="External"/><Relationship Id="rId1" Type="http://schemas.openxmlformats.org/officeDocument/2006/relationships/hyperlink" Target="https://portal.mwater.co/" TargetMode="External"/><Relationship Id="rId6" Type="http://schemas.openxmlformats.org/officeDocument/2006/relationships/hyperlink" Target="https://portal.mwater.co/" TargetMode="External"/><Relationship Id="rId15" Type="http://schemas.openxmlformats.org/officeDocument/2006/relationships/hyperlink" Target="https://portal.mwater.co/" TargetMode="External"/><Relationship Id="rId23" Type="http://schemas.openxmlformats.org/officeDocument/2006/relationships/hyperlink" Target="https://portal.mwater.co/" TargetMode="External"/><Relationship Id="rId28" Type="http://schemas.openxmlformats.org/officeDocument/2006/relationships/hyperlink" Target="https://portal.mwater.co/" TargetMode="External"/><Relationship Id="rId36" Type="http://schemas.openxmlformats.org/officeDocument/2006/relationships/hyperlink" Target="https://portal.mwater.co/" TargetMode="External"/><Relationship Id="rId49" Type="http://schemas.openxmlformats.org/officeDocument/2006/relationships/hyperlink" Target="https://portal.mwater.co/" TargetMode="External"/><Relationship Id="rId57" Type="http://schemas.openxmlformats.org/officeDocument/2006/relationships/hyperlink" Target="https://portal.mwater.co/" TargetMode="External"/><Relationship Id="rId106" Type="http://schemas.openxmlformats.org/officeDocument/2006/relationships/hyperlink" Target="https://portal.mwater.co/" TargetMode="External"/><Relationship Id="rId114" Type="http://schemas.microsoft.com/office/2017/10/relationships/threadedComment" Target="../threadedComments/threadedComment11.xml"/><Relationship Id="rId10" Type="http://schemas.openxmlformats.org/officeDocument/2006/relationships/hyperlink" Target="https://portal.mwater.co/" TargetMode="External"/><Relationship Id="rId31" Type="http://schemas.openxmlformats.org/officeDocument/2006/relationships/hyperlink" Target="https://portal.mwater.co/" TargetMode="External"/><Relationship Id="rId44" Type="http://schemas.openxmlformats.org/officeDocument/2006/relationships/hyperlink" Target="https://portal.mwater.co/" TargetMode="External"/><Relationship Id="rId52" Type="http://schemas.openxmlformats.org/officeDocument/2006/relationships/hyperlink" Target="https://portal.mwater.co/" TargetMode="External"/><Relationship Id="rId60" Type="http://schemas.openxmlformats.org/officeDocument/2006/relationships/hyperlink" Target="https://portal.mwater.co/" TargetMode="External"/><Relationship Id="rId65" Type="http://schemas.openxmlformats.org/officeDocument/2006/relationships/hyperlink" Target="https://portal.mwater.co/" TargetMode="External"/><Relationship Id="rId73" Type="http://schemas.openxmlformats.org/officeDocument/2006/relationships/hyperlink" Target="https://portal.mwater.co/" TargetMode="External"/><Relationship Id="rId78" Type="http://schemas.openxmlformats.org/officeDocument/2006/relationships/hyperlink" Target="https://portal.mwater.co/" TargetMode="External"/><Relationship Id="rId81" Type="http://schemas.openxmlformats.org/officeDocument/2006/relationships/hyperlink" Target="https://portal.mwater.co/" TargetMode="External"/><Relationship Id="rId86" Type="http://schemas.openxmlformats.org/officeDocument/2006/relationships/hyperlink" Target="https://portal.mwater.co/" TargetMode="External"/><Relationship Id="rId94" Type="http://schemas.openxmlformats.org/officeDocument/2006/relationships/hyperlink" Target="https://portal.mwater.co/" TargetMode="External"/><Relationship Id="rId99" Type="http://schemas.openxmlformats.org/officeDocument/2006/relationships/hyperlink" Target="https://portal.mwater.co/" TargetMode="External"/><Relationship Id="rId101" Type="http://schemas.openxmlformats.org/officeDocument/2006/relationships/hyperlink" Target="https://portal.mwater.co/" TargetMode="External"/><Relationship Id="rId4" Type="http://schemas.openxmlformats.org/officeDocument/2006/relationships/hyperlink" Target="https://portal.mwater.co/" TargetMode="External"/><Relationship Id="rId9" Type="http://schemas.openxmlformats.org/officeDocument/2006/relationships/hyperlink" Target="https://portal.mwater.co/" TargetMode="External"/><Relationship Id="rId13" Type="http://schemas.openxmlformats.org/officeDocument/2006/relationships/hyperlink" Target="https://portal.mwater.co/" TargetMode="External"/><Relationship Id="rId18" Type="http://schemas.openxmlformats.org/officeDocument/2006/relationships/hyperlink" Target="https://portal.mwater.co/" TargetMode="External"/><Relationship Id="rId39" Type="http://schemas.openxmlformats.org/officeDocument/2006/relationships/hyperlink" Target="https://portal.mwater.co/" TargetMode="External"/><Relationship Id="rId109" Type="http://schemas.openxmlformats.org/officeDocument/2006/relationships/hyperlink" Target="https://portal.mwater.co/" TargetMode="External"/><Relationship Id="rId34" Type="http://schemas.openxmlformats.org/officeDocument/2006/relationships/hyperlink" Target="https://portal.mwater.co/" TargetMode="External"/><Relationship Id="rId50" Type="http://schemas.openxmlformats.org/officeDocument/2006/relationships/hyperlink" Target="https://portal.mwater.co/" TargetMode="External"/><Relationship Id="rId55" Type="http://schemas.openxmlformats.org/officeDocument/2006/relationships/hyperlink" Target="https://portal.mwater.co/" TargetMode="External"/><Relationship Id="rId76" Type="http://schemas.openxmlformats.org/officeDocument/2006/relationships/hyperlink" Target="https://hanwash.sharepoint.com/:x:/s/MattsonProposal/ERploELozoBFkp9hbosD98cBcY3i4KXpNxx4spbxWAs0rg" TargetMode="External"/><Relationship Id="rId97" Type="http://schemas.openxmlformats.org/officeDocument/2006/relationships/hyperlink" Target="https://portal.mwater.co/" TargetMode="External"/><Relationship Id="rId104" Type="http://schemas.openxmlformats.org/officeDocument/2006/relationships/hyperlink" Target="https://portal.mwater.co/" TargetMode="External"/><Relationship Id="rId7" Type="http://schemas.openxmlformats.org/officeDocument/2006/relationships/hyperlink" Target="https://portal.mwater.co/" TargetMode="External"/><Relationship Id="rId71" Type="http://schemas.openxmlformats.org/officeDocument/2006/relationships/hyperlink" Target="https://portal.mwater.co/" TargetMode="External"/><Relationship Id="rId92" Type="http://schemas.openxmlformats.org/officeDocument/2006/relationships/hyperlink" Target="https://portal.mwater.co/" TargetMode="External"/><Relationship Id="rId2" Type="http://schemas.openxmlformats.org/officeDocument/2006/relationships/hyperlink" Target="https://portal.mwater.co/" TargetMode="External"/><Relationship Id="rId29" Type="http://schemas.openxmlformats.org/officeDocument/2006/relationships/hyperlink" Target="https://portal.mwater.co/" TargetMode="External"/><Relationship Id="rId24" Type="http://schemas.openxmlformats.org/officeDocument/2006/relationships/hyperlink" Target="https://portal.mwater.co/" TargetMode="External"/><Relationship Id="rId40" Type="http://schemas.openxmlformats.org/officeDocument/2006/relationships/hyperlink" Target="https://portal.mwater.co/" TargetMode="External"/><Relationship Id="rId45" Type="http://schemas.openxmlformats.org/officeDocument/2006/relationships/hyperlink" Target="https://portal.mwater.co/" TargetMode="External"/><Relationship Id="rId66" Type="http://schemas.openxmlformats.org/officeDocument/2006/relationships/hyperlink" Target="https://portal.mwater.co/" TargetMode="External"/><Relationship Id="rId87" Type="http://schemas.openxmlformats.org/officeDocument/2006/relationships/hyperlink" Target="https://portal.mwater.co/" TargetMode="External"/><Relationship Id="rId110" Type="http://schemas.openxmlformats.org/officeDocument/2006/relationships/hyperlink" Target="https://portal.mwater.co/" TargetMode="External"/><Relationship Id="rId61" Type="http://schemas.openxmlformats.org/officeDocument/2006/relationships/hyperlink" Target="https://portal.mwater.co/" TargetMode="External"/><Relationship Id="rId82" Type="http://schemas.openxmlformats.org/officeDocument/2006/relationships/hyperlink" Target="https://portal.mwater.co/" TargetMode="External"/><Relationship Id="rId19" Type="http://schemas.openxmlformats.org/officeDocument/2006/relationships/hyperlink" Target="https://portal.mwater.co/" TargetMode="External"/><Relationship Id="rId14" Type="http://schemas.openxmlformats.org/officeDocument/2006/relationships/hyperlink" Target="https://portal.mwater.co/" TargetMode="External"/><Relationship Id="rId30" Type="http://schemas.openxmlformats.org/officeDocument/2006/relationships/hyperlink" Target="https://portal.mwater.co/" TargetMode="External"/><Relationship Id="rId35" Type="http://schemas.openxmlformats.org/officeDocument/2006/relationships/hyperlink" Target="https://portal.mwater.co/" TargetMode="External"/><Relationship Id="rId56" Type="http://schemas.openxmlformats.org/officeDocument/2006/relationships/hyperlink" Target="https://portal.mwater.co/" TargetMode="External"/><Relationship Id="rId77" Type="http://schemas.openxmlformats.org/officeDocument/2006/relationships/hyperlink" Target="https://portal.mwater.co/" TargetMode="External"/><Relationship Id="rId100" Type="http://schemas.openxmlformats.org/officeDocument/2006/relationships/hyperlink" Target="https://portal.mwater.co/" TargetMode="External"/><Relationship Id="rId105" Type="http://schemas.openxmlformats.org/officeDocument/2006/relationships/hyperlink" Target="https://portal.mwater.co/" TargetMode="External"/><Relationship Id="rId8" Type="http://schemas.openxmlformats.org/officeDocument/2006/relationships/hyperlink" Target="https://portal.mwater.co/" TargetMode="External"/><Relationship Id="rId51" Type="http://schemas.openxmlformats.org/officeDocument/2006/relationships/hyperlink" Target="https://portal.mwater.co/" TargetMode="External"/><Relationship Id="rId72" Type="http://schemas.openxmlformats.org/officeDocument/2006/relationships/hyperlink" Target="https://portal.mwater.co/" TargetMode="External"/><Relationship Id="rId93" Type="http://schemas.openxmlformats.org/officeDocument/2006/relationships/hyperlink" Target="https://portal.mwater.co/" TargetMode="External"/><Relationship Id="rId98" Type="http://schemas.openxmlformats.org/officeDocument/2006/relationships/hyperlink" Target="https://portal.mwater.co/" TargetMode="External"/><Relationship Id="rId3" Type="http://schemas.openxmlformats.org/officeDocument/2006/relationships/hyperlink" Target="https://portal.mwater.co/" TargetMode="External"/><Relationship Id="rId25" Type="http://schemas.openxmlformats.org/officeDocument/2006/relationships/hyperlink" Target="https://portal.mwater.co/" TargetMode="External"/><Relationship Id="rId46" Type="http://schemas.openxmlformats.org/officeDocument/2006/relationships/hyperlink" Target="https://portal.mwater.co/" TargetMode="External"/><Relationship Id="rId67" Type="http://schemas.openxmlformats.org/officeDocument/2006/relationships/hyperlink" Target="https://portal.mwater.co/" TargetMode="External"/><Relationship Id="rId20" Type="http://schemas.openxmlformats.org/officeDocument/2006/relationships/hyperlink" Target="https://portal.mwater.co/" TargetMode="External"/><Relationship Id="rId41" Type="http://schemas.openxmlformats.org/officeDocument/2006/relationships/hyperlink" Target="https://portal.mwater.co/" TargetMode="External"/><Relationship Id="rId62" Type="http://schemas.openxmlformats.org/officeDocument/2006/relationships/hyperlink" Target="https://portal.mwater.co/" TargetMode="External"/><Relationship Id="rId83" Type="http://schemas.openxmlformats.org/officeDocument/2006/relationships/hyperlink" Target="https://portal.mwater.co/" TargetMode="External"/><Relationship Id="rId88" Type="http://schemas.openxmlformats.org/officeDocument/2006/relationships/hyperlink" Target="https://portal.mwater.co/" TargetMode="External"/><Relationship Id="rId111" Type="http://schemas.openxmlformats.org/officeDocument/2006/relationships/hyperlink" Target="https://portal.mwater.co/" TargetMode="External"/></Relationships>
</file>

<file path=xl/worksheets/_rels/sheet15.xml.rels><?xml version="1.0" encoding="UTF-8" standalone="yes"?>
<Relationships xmlns="http://schemas.openxmlformats.org/package/2006/relationships"><Relationship Id="rId26" Type="http://schemas.openxmlformats.org/officeDocument/2006/relationships/hyperlink" Target="https://portal.mwater.co/" TargetMode="External"/><Relationship Id="rId21" Type="http://schemas.openxmlformats.org/officeDocument/2006/relationships/hyperlink" Target="https://portal.mwater.co/" TargetMode="External"/><Relationship Id="rId42" Type="http://schemas.openxmlformats.org/officeDocument/2006/relationships/hyperlink" Target="https://portal.mwater.co/" TargetMode="External"/><Relationship Id="rId47" Type="http://schemas.openxmlformats.org/officeDocument/2006/relationships/hyperlink" Target="https://portal.mwater.co/" TargetMode="External"/><Relationship Id="rId63" Type="http://schemas.openxmlformats.org/officeDocument/2006/relationships/hyperlink" Target="https://portal.mwater.co/" TargetMode="External"/><Relationship Id="rId68" Type="http://schemas.openxmlformats.org/officeDocument/2006/relationships/hyperlink" Target="https://portal.mwater.co/" TargetMode="External"/><Relationship Id="rId84" Type="http://schemas.openxmlformats.org/officeDocument/2006/relationships/hyperlink" Target="https://portal.mwater.co/" TargetMode="External"/><Relationship Id="rId89" Type="http://schemas.openxmlformats.org/officeDocument/2006/relationships/hyperlink" Target="https://portal.mwater.co/" TargetMode="External"/><Relationship Id="rId112" Type="http://schemas.openxmlformats.org/officeDocument/2006/relationships/vmlDrawing" Target="../drawings/vmlDrawing12.vml"/><Relationship Id="rId16" Type="http://schemas.openxmlformats.org/officeDocument/2006/relationships/hyperlink" Target="https://portal.mwater.co/" TargetMode="External"/><Relationship Id="rId107" Type="http://schemas.openxmlformats.org/officeDocument/2006/relationships/hyperlink" Target="https://portal.mwater.co/" TargetMode="External"/><Relationship Id="rId11" Type="http://schemas.openxmlformats.org/officeDocument/2006/relationships/hyperlink" Target="https://portal.mwater.co/" TargetMode="External"/><Relationship Id="rId32" Type="http://schemas.openxmlformats.org/officeDocument/2006/relationships/hyperlink" Target="https://portal.mwater.co/" TargetMode="External"/><Relationship Id="rId37" Type="http://schemas.openxmlformats.org/officeDocument/2006/relationships/hyperlink" Target="https://portal.mwater.co/" TargetMode="External"/><Relationship Id="rId53" Type="http://schemas.openxmlformats.org/officeDocument/2006/relationships/hyperlink" Target="https://portal.mwater.co/" TargetMode="External"/><Relationship Id="rId58" Type="http://schemas.openxmlformats.org/officeDocument/2006/relationships/hyperlink" Target="https://portal.mwater.co/" TargetMode="External"/><Relationship Id="rId74" Type="http://schemas.openxmlformats.org/officeDocument/2006/relationships/hyperlink" Target="https://portal.mwater.co/" TargetMode="External"/><Relationship Id="rId79" Type="http://schemas.openxmlformats.org/officeDocument/2006/relationships/hyperlink" Target="https://portal.mwater.co/" TargetMode="External"/><Relationship Id="rId102" Type="http://schemas.openxmlformats.org/officeDocument/2006/relationships/hyperlink" Target="https://portal.mwater.co/" TargetMode="External"/><Relationship Id="rId5" Type="http://schemas.openxmlformats.org/officeDocument/2006/relationships/hyperlink" Target="https://portal.mwater.co/" TargetMode="External"/><Relationship Id="rId90" Type="http://schemas.openxmlformats.org/officeDocument/2006/relationships/hyperlink" Target="https://portal.mwater.co/" TargetMode="External"/><Relationship Id="rId95" Type="http://schemas.openxmlformats.org/officeDocument/2006/relationships/hyperlink" Target="https://portal.mwater.co/" TargetMode="External"/><Relationship Id="rId22" Type="http://schemas.openxmlformats.org/officeDocument/2006/relationships/hyperlink" Target="https://portal.mwater.co/" TargetMode="External"/><Relationship Id="rId27" Type="http://schemas.openxmlformats.org/officeDocument/2006/relationships/hyperlink" Target="https://portal.mwater.co/" TargetMode="External"/><Relationship Id="rId43" Type="http://schemas.openxmlformats.org/officeDocument/2006/relationships/hyperlink" Target="https://portal.mwater.co/" TargetMode="External"/><Relationship Id="rId48" Type="http://schemas.openxmlformats.org/officeDocument/2006/relationships/hyperlink" Target="https://portal.mwater.co/" TargetMode="External"/><Relationship Id="rId64" Type="http://schemas.openxmlformats.org/officeDocument/2006/relationships/hyperlink" Target="https://portal.mwater.co/" TargetMode="External"/><Relationship Id="rId69" Type="http://schemas.openxmlformats.org/officeDocument/2006/relationships/hyperlink" Target="https://portal.mwater.co/" TargetMode="External"/><Relationship Id="rId113" Type="http://schemas.openxmlformats.org/officeDocument/2006/relationships/comments" Target="../comments12.xml"/><Relationship Id="rId80" Type="http://schemas.openxmlformats.org/officeDocument/2006/relationships/hyperlink" Target="https://portal.mwater.co/" TargetMode="External"/><Relationship Id="rId85" Type="http://schemas.openxmlformats.org/officeDocument/2006/relationships/hyperlink" Target="https://portal.mwater.co/" TargetMode="External"/><Relationship Id="rId12" Type="http://schemas.openxmlformats.org/officeDocument/2006/relationships/hyperlink" Target="https://portal.mwater.co/" TargetMode="External"/><Relationship Id="rId17" Type="http://schemas.openxmlformats.org/officeDocument/2006/relationships/hyperlink" Target="https://portal.mwater.co/" TargetMode="External"/><Relationship Id="rId33" Type="http://schemas.openxmlformats.org/officeDocument/2006/relationships/hyperlink" Target="https://portal.mwater.co/" TargetMode="External"/><Relationship Id="rId38" Type="http://schemas.openxmlformats.org/officeDocument/2006/relationships/hyperlink" Target="https://portal.mwater.co/" TargetMode="External"/><Relationship Id="rId59" Type="http://schemas.openxmlformats.org/officeDocument/2006/relationships/hyperlink" Target="https://portal.mwater.co/" TargetMode="External"/><Relationship Id="rId103" Type="http://schemas.openxmlformats.org/officeDocument/2006/relationships/hyperlink" Target="https://portal.mwater.co/" TargetMode="External"/><Relationship Id="rId108" Type="http://schemas.openxmlformats.org/officeDocument/2006/relationships/hyperlink" Target="https://portal.mwater.co/" TargetMode="External"/><Relationship Id="rId54" Type="http://schemas.openxmlformats.org/officeDocument/2006/relationships/hyperlink" Target="https://portal.mwater.co/" TargetMode="External"/><Relationship Id="rId70" Type="http://schemas.openxmlformats.org/officeDocument/2006/relationships/hyperlink" Target="https://portal.mwater.co/" TargetMode="External"/><Relationship Id="rId75" Type="http://schemas.openxmlformats.org/officeDocument/2006/relationships/hyperlink" Target="https://portal.mwater.co/" TargetMode="External"/><Relationship Id="rId91" Type="http://schemas.openxmlformats.org/officeDocument/2006/relationships/hyperlink" Target="https://portal.mwater.co/" TargetMode="External"/><Relationship Id="rId96" Type="http://schemas.openxmlformats.org/officeDocument/2006/relationships/hyperlink" Target="https://portal.mwater.co/" TargetMode="External"/><Relationship Id="rId1" Type="http://schemas.openxmlformats.org/officeDocument/2006/relationships/hyperlink" Target="https://portal.mwater.co/" TargetMode="External"/><Relationship Id="rId6" Type="http://schemas.openxmlformats.org/officeDocument/2006/relationships/hyperlink" Target="https://portal.mwater.co/" TargetMode="External"/><Relationship Id="rId15" Type="http://schemas.openxmlformats.org/officeDocument/2006/relationships/hyperlink" Target="https://portal.mwater.co/" TargetMode="External"/><Relationship Id="rId23" Type="http://schemas.openxmlformats.org/officeDocument/2006/relationships/hyperlink" Target="https://portal.mwater.co/" TargetMode="External"/><Relationship Id="rId28" Type="http://schemas.openxmlformats.org/officeDocument/2006/relationships/hyperlink" Target="https://portal.mwater.co/" TargetMode="External"/><Relationship Id="rId36" Type="http://schemas.openxmlformats.org/officeDocument/2006/relationships/hyperlink" Target="https://portal.mwater.co/" TargetMode="External"/><Relationship Id="rId49" Type="http://schemas.openxmlformats.org/officeDocument/2006/relationships/hyperlink" Target="https://portal.mwater.co/" TargetMode="External"/><Relationship Id="rId57" Type="http://schemas.openxmlformats.org/officeDocument/2006/relationships/hyperlink" Target="https://portal.mwater.co/" TargetMode="External"/><Relationship Id="rId106" Type="http://schemas.openxmlformats.org/officeDocument/2006/relationships/hyperlink" Target="https://portal.mwater.co/" TargetMode="External"/><Relationship Id="rId114" Type="http://schemas.microsoft.com/office/2017/10/relationships/threadedComment" Target="../threadedComments/threadedComment12.xml"/><Relationship Id="rId10" Type="http://schemas.openxmlformats.org/officeDocument/2006/relationships/hyperlink" Target="https://portal.mwater.co/" TargetMode="External"/><Relationship Id="rId31" Type="http://schemas.openxmlformats.org/officeDocument/2006/relationships/hyperlink" Target="https://portal.mwater.co/" TargetMode="External"/><Relationship Id="rId44" Type="http://schemas.openxmlformats.org/officeDocument/2006/relationships/hyperlink" Target="https://portal.mwater.co/" TargetMode="External"/><Relationship Id="rId52" Type="http://schemas.openxmlformats.org/officeDocument/2006/relationships/hyperlink" Target="https://portal.mwater.co/" TargetMode="External"/><Relationship Id="rId60" Type="http://schemas.openxmlformats.org/officeDocument/2006/relationships/hyperlink" Target="https://portal.mwater.co/" TargetMode="External"/><Relationship Id="rId65" Type="http://schemas.openxmlformats.org/officeDocument/2006/relationships/hyperlink" Target="https://portal.mwater.co/" TargetMode="External"/><Relationship Id="rId73" Type="http://schemas.openxmlformats.org/officeDocument/2006/relationships/hyperlink" Target="https://portal.mwater.co/" TargetMode="External"/><Relationship Id="rId78" Type="http://schemas.openxmlformats.org/officeDocument/2006/relationships/hyperlink" Target="https://portal.mwater.co/" TargetMode="External"/><Relationship Id="rId81" Type="http://schemas.openxmlformats.org/officeDocument/2006/relationships/hyperlink" Target="https://portal.mwater.co/" TargetMode="External"/><Relationship Id="rId86" Type="http://schemas.openxmlformats.org/officeDocument/2006/relationships/hyperlink" Target="https://portal.mwater.co/" TargetMode="External"/><Relationship Id="rId94" Type="http://schemas.openxmlformats.org/officeDocument/2006/relationships/hyperlink" Target="https://portal.mwater.co/" TargetMode="External"/><Relationship Id="rId99" Type="http://schemas.openxmlformats.org/officeDocument/2006/relationships/hyperlink" Target="https://portal.mwater.co/" TargetMode="External"/><Relationship Id="rId101" Type="http://schemas.openxmlformats.org/officeDocument/2006/relationships/hyperlink" Target="https://portal.mwater.co/" TargetMode="External"/><Relationship Id="rId4" Type="http://schemas.openxmlformats.org/officeDocument/2006/relationships/hyperlink" Target="https://portal.mwater.co/" TargetMode="External"/><Relationship Id="rId9" Type="http://schemas.openxmlformats.org/officeDocument/2006/relationships/hyperlink" Target="https://portal.mwater.co/" TargetMode="External"/><Relationship Id="rId13" Type="http://schemas.openxmlformats.org/officeDocument/2006/relationships/hyperlink" Target="https://portal.mwater.co/" TargetMode="External"/><Relationship Id="rId18" Type="http://schemas.openxmlformats.org/officeDocument/2006/relationships/hyperlink" Target="https://portal.mwater.co/" TargetMode="External"/><Relationship Id="rId39" Type="http://schemas.openxmlformats.org/officeDocument/2006/relationships/hyperlink" Target="https://portal.mwater.co/" TargetMode="External"/><Relationship Id="rId109" Type="http://schemas.openxmlformats.org/officeDocument/2006/relationships/hyperlink" Target="https://portal.mwater.co/" TargetMode="External"/><Relationship Id="rId34" Type="http://schemas.openxmlformats.org/officeDocument/2006/relationships/hyperlink" Target="https://portal.mwater.co/" TargetMode="External"/><Relationship Id="rId50" Type="http://schemas.openxmlformats.org/officeDocument/2006/relationships/hyperlink" Target="https://portal.mwater.co/" TargetMode="External"/><Relationship Id="rId55" Type="http://schemas.openxmlformats.org/officeDocument/2006/relationships/hyperlink" Target="https://portal.mwater.co/" TargetMode="External"/><Relationship Id="rId76" Type="http://schemas.openxmlformats.org/officeDocument/2006/relationships/hyperlink" Target="https://hanwash.sharepoint.com/:x:/s/MattsonProposal/ERploELozoBFkp9hbosD98cBcY3i4KXpNxx4spbxWAs0rg" TargetMode="External"/><Relationship Id="rId97" Type="http://schemas.openxmlformats.org/officeDocument/2006/relationships/hyperlink" Target="https://portal.mwater.co/" TargetMode="External"/><Relationship Id="rId104" Type="http://schemas.openxmlformats.org/officeDocument/2006/relationships/hyperlink" Target="https://portal.mwater.co/" TargetMode="External"/><Relationship Id="rId7" Type="http://schemas.openxmlformats.org/officeDocument/2006/relationships/hyperlink" Target="https://portal.mwater.co/" TargetMode="External"/><Relationship Id="rId71" Type="http://schemas.openxmlformats.org/officeDocument/2006/relationships/hyperlink" Target="https://portal.mwater.co/" TargetMode="External"/><Relationship Id="rId92" Type="http://schemas.openxmlformats.org/officeDocument/2006/relationships/hyperlink" Target="https://portal.mwater.co/" TargetMode="External"/><Relationship Id="rId2" Type="http://schemas.openxmlformats.org/officeDocument/2006/relationships/hyperlink" Target="https://portal.mwater.co/" TargetMode="External"/><Relationship Id="rId29" Type="http://schemas.openxmlformats.org/officeDocument/2006/relationships/hyperlink" Target="https://portal.mwater.co/" TargetMode="External"/><Relationship Id="rId24" Type="http://schemas.openxmlformats.org/officeDocument/2006/relationships/hyperlink" Target="https://portal.mwater.co/" TargetMode="External"/><Relationship Id="rId40" Type="http://schemas.openxmlformats.org/officeDocument/2006/relationships/hyperlink" Target="https://portal.mwater.co/" TargetMode="External"/><Relationship Id="rId45" Type="http://schemas.openxmlformats.org/officeDocument/2006/relationships/hyperlink" Target="https://portal.mwater.co/" TargetMode="External"/><Relationship Id="rId66" Type="http://schemas.openxmlformats.org/officeDocument/2006/relationships/hyperlink" Target="https://portal.mwater.co/" TargetMode="External"/><Relationship Id="rId87" Type="http://schemas.openxmlformats.org/officeDocument/2006/relationships/hyperlink" Target="https://portal.mwater.co/" TargetMode="External"/><Relationship Id="rId110" Type="http://schemas.openxmlformats.org/officeDocument/2006/relationships/hyperlink" Target="https://portal.mwater.co/" TargetMode="External"/><Relationship Id="rId61" Type="http://schemas.openxmlformats.org/officeDocument/2006/relationships/hyperlink" Target="https://portal.mwater.co/" TargetMode="External"/><Relationship Id="rId82" Type="http://schemas.openxmlformats.org/officeDocument/2006/relationships/hyperlink" Target="https://portal.mwater.co/" TargetMode="External"/><Relationship Id="rId19" Type="http://schemas.openxmlformats.org/officeDocument/2006/relationships/hyperlink" Target="https://portal.mwater.co/" TargetMode="External"/><Relationship Id="rId14" Type="http://schemas.openxmlformats.org/officeDocument/2006/relationships/hyperlink" Target="https://portal.mwater.co/" TargetMode="External"/><Relationship Id="rId30" Type="http://schemas.openxmlformats.org/officeDocument/2006/relationships/hyperlink" Target="https://portal.mwater.co/" TargetMode="External"/><Relationship Id="rId35" Type="http://schemas.openxmlformats.org/officeDocument/2006/relationships/hyperlink" Target="https://portal.mwater.co/" TargetMode="External"/><Relationship Id="rId56" Type="http://schemas.openxmlformats.org/officeDocument/2006/relationships/hyperlink" Target="https://portal.mwater.co/" TargetMode="External"/><Relationship Id="rId77" Type="http://schemas.openxmlformats.org/officeDocument/2006/relationships/hyperlink" Target="https://portal.mwater.co/" TargetMode="External"/><Relationship Id="rId100" Type="http://schemas.openxmlformats.org/officeDocument/2006/relationships/hyperlink" Target="https://portal.mwater.co/" TargetMode="External"/><Relationship Id="rId105" Type="http://schemas.openxmlformats.org/officeDocument/2006/relationships/hyperlink" Target="https://portal.mwater.co/" TargetMode="External"/><Relationship Id="rId8" Type="http://schemas.openxmlformats.org/officeDocument/2006/relationships/hyperlink" Target="https://portal.mwater.co/" TargetMode="External"/><Relationship Id="rId51" Type="http://schemas.openxmlformats.org/officeDocument/2006/relationships/hyperlink" Target="https://portal.mwater.co/" TargetMode="External"/><Relationship Id="rId72" Type="http://schemas.openxmlformats.org/officeDocument/2006/relationships/hyperlink" Target="https://portal.mwater.co/" TargetMode="External"/><Relationship Id="rId93" Type="http://schemas.openxmlformats.org/officeDocument/2006/relationships/hyperlink" Target="https://portal.mwater.co/" TargetMode="External"/><Relationship Id="rId98" Type="http://schemas.openxmlformats.org/officeDocument/2006/relationships/hyperlink" Target="https://portal.mwater.co/" TargetMode="External"/><Relationship Id="rId3" Type="http://schemas.openxmlformats.org/officeDocument/2006/relationships/hyperlink" Target="https://portal.mwater.co/" TargetMode="External"/><Relationship Id="rId25" Type="http://schemas.openxmlformats.org/officeDocument/2006/relationships/hyperlink" Target="https://portal.mwater.co/" TargetMode="External"/><Relationship Id="rId46" Type="http://schemas.openxmlformats.org/officeDocument/2006/relationships/hyperlink" Target="https://portal.mwater.co/" TargetMode="External"/><Relationship Id="rId67" Type="http://schemas.openxmlformats.org/officeDocument/2006/relationships/hyperlink" Target="https://portal.mwater.co/" TargetMode="External"/><Relationship Id="rId20" Type="http://schemas.openxmlformats.org/officeDocument/2006/relationships/hyperlink" Target="https://portal.mwater.co/" TargetMode="External"/><Relationship Id="rId41" Type="http://schemas.openxmlformats.org/officeDocument/2006/relationships/hyperlink" Target="https://portal.mwater.co/" TargetMode="External"/><Relationship Id="rId62" Type="http://schemas.openxmlformats.org/officeDocument/2006/relationships/hyperlink" Target="https://portal.mwater.co/" TargetMode="External"/><Relationship Id="rId83" Type="http://schemas.openxmlformats.org/officeDocument/2006/relationships/hyperlink" Target="https://portal.mwater.co/" TargetMode="External"/><Relationship Id="rId88" Type="http://schemas.openxmlformats.org/officeDocument/2006/relationships/hyperlink" Target="https://portal.mwater.co/" TargetMode="External"/><Relationship Id="rId111" Type="http://schemas.openxmlformats.org/officeDocument/2006/relationships/hyperlink" Target="https://portal.mwater.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81729-45E0-CA40-BDBC-8BA6B4FB22E8}">
  <sheetPr>
    <pageSetUpPr fitToPage="1"/>
  </sheetPr>
  <dimension ref="A1:K34"/>
  <sheetViews>
    <sheetView topLeftCell="A11" zoomScale="91" zoomScaleNormal="91" workbookViewId="0">
      <selection activeCell="F15" sqref="F15:H15"/>
    </sheetView>
  </sheetViews>
  <sheetFormatPr defaultColWidth="11" defaultRowHeight="15.6"/>
  <cols>
    <col min="2" max="2" width="16.625" customWidth="1"/>
    <col min="3" max="10" width="20" customWidth="1"/>
  </cols>
  <sheetData>
    <row r="1" spans="1:11">
      <c r="A1" s="69" t="s">
        <v>0</v>
      </c>
    </row>
    <row r="2" spans="1:11">
      <c r="A2" s="69" t="s">
        <v>1</v>
      </c>
    </row>
    <row r="3" spans="1:11">
      <c r="A3" s="69" t="s">
        <v>2</v>
      </c>
    </row>
    <row r="4" spans="1:11">
      <c r="A4" s="69" t="s">
        <v>3</v>
      </c>
    </row>
    <row r="5" spans="1:11">
      <c r="A5" s="92" t="s">
        <v>4</v>
      </c>
    </row>
    <row r="6" spans="1:11">
      <c r="A6" s="93" t="s">
        <v>5</v>
      </c>
    </row>
    <row r="7" spans="1:11">
      <c r="A7" s="69" t="s">
        <v>6</v>
      </c>
    </row>
    <row r="8" spans="1:11">
      <c r="A8" s="93" t="s">
        <v>7</v>
      </c>
    </row>
    <row r="10" spans="1:11" ht="35.1" customHeight="1"/>
    <row r="11" spans="1:11" ht="21.6" thickBot="1">
      <c r="A11" s="223"/>
      <c r="B11" s="234" t="s">
        <v>8</v>
      </c>
      <c r="C11" s="426" t="s">
        <v>9</v>
      </c>
      <c r="D11" s="427"/>
      <c r="E11" s="427"/>
      <c r="F11" s="427"/>
      <c r="G11" s="427"/>
      <c r="H11" s="427"/>
      <c r="I11" s="427"/>
      <c r="J11" s="428"/>
      <c r="K11" s="223"/>
    </row>
    <row r="12" spans="1:11">
      <c r="A12" s="225"/>
      <c r="B12" s="419" t="s">
        <v>10</v>
      </c>
      <c r="C12" s="429">
        <v>1</v>
      </c>
      <c r="D12" s="430"/>
      <c r="E12" s="430"/>
      <c r="F12" s="430"/>
      <c r="G12" s="430"/>
      <c r="H12" s="430"/>
      <c r="I12" s="430"/>
      <c r="J12" s="431"/>
      <c r="K12" s="225"/>
    </row>
    <row r="13" spans="1:11" ht="27" customHeight="1">
      <c r="A13" s="225"/>
      <c r="B13" s="419"/>
      <c r="C13" s="432" t="str">
        <f>'Log frame'!B13</f>
        <v>Increased access to safe, sustainable and affordable water, sanitation and hygiene (WASH) services in Haiti​.</v>
      </c>
      <c r="D13" s="433"/>
      <c r="E13" s="433"/>
      <c r="F13" s="433"/>
      <c r="G13" s="433"/>
      <c r="H13" s="433"/>
      <c r="I13" s="433"/>
      <c r="J13" s="434"/>
      <c r="K13" s="225"/>
    </row>
    <row r="14" spans="1:11" ht="18.95" customHeight="1">
      <c r="A14" s="225"/>
      <c r="B14" s="420" t="s">
        <v>11</v>
      </c>
      <c r="C14" s="436">
        <v>1000</v>
      </c>
      <c r="D14" s="437"/>
      <c r="E14" s="438"/>
      <c r="F14" s="422">
        <v>2000</v>
      </c>
      <c r="G14" s="423"/>
      <c r="H14" s="423"/>
      <c r="I14" s="439">
        <v>3000</v>
      </c>
      <c r="J14" s="440"/>
      <c r="K14" s="225"/>
    </row>
    <row r="15" spans="1:11" ht="57.6" customHeight="1">
      <c r="A15" s="225"/>
      <c r="B15" s="435"/>
      <c r="C15" s="424" t="str">
        <f>'Log frame'!B15</f>
        <v>Strengthened demand for and management of WASH services in communes.</v>
      </c>
      <c r="D15" s="425"/>
      <c r="E15" s="441"/>
      <c r="F15" s="424" t="str">
        <f>'Log frame'!E15</f>
        <v>Enhanced household access to and use of sustainable, affordable, and safe water, sanitation and hygiene services.​</v>
      </c>
      <c r="G15" s="425"/>
      <c r="H15" s="425"/>
      <c r="I15" s="424" t="s">
        <v>12</v>
      </c>
      <c r="J15" s="441"/>
      <c r="K15" s="226"/>
    </row>
    <row r="16" spans="1:11">
      <c r="A16" s="225"/>
      <c r="B16" s="419" t="s">
        <v>13</v>
      </c>
      <c r="C16" s="215">
        <v>1100</v>
      </c>
      <c r="D16" s="215">
        <v>1200</v>
      </c>
      <c r="E16" s="215">
        <v>1300</v>
      </c>
      <c r="F16" s="215">
        <v>2100</v>
      </c>
      <c r="G16" s="215">
        <v>2200</v>
      </c>
      <c r="H16" s="215">
        <v>2300</v>
      </c>
      <c r="I16" s="215">
        <v>3100</v>
      </c>
      <c r="J16" s="215">
        <v>3200</v>
      </c>
      <c r="K16" s="225"/>
    </row>
    <row r="17" spans="1:11" ht="90.6" customHeight="1">
      <c r="A17" s="225"/>
      <c r="B17" s="419"/>
      <c r="C17" s="228" t="str">
        <f>'Log frame'!B17</f>
        <v>Increased civil society engagement in decision making and implementation of WASH services.</v>
      </c>
      <c r="D17" s="228" t="str">
        <f>'Log frame'!C17</f>
        <v>Improved commune WASH planning and coordination by local authorities.​</v>
      </c>
      <c r="E17" s="227" t="str">
        <f>'Log frame'!D17</f>
        <v>Improved accountability of service providers to users of WASH services.​</v>
      </c>
      <c r="F17" s="227" t="str">
        <f>'Log frame'!E17</f>
        <v>Increased household access to sustainable, affordable, and safe drinking water services.​</v>
      </c>
      <c r="G17" s="227" t="str">
        <f>'Log frame'!F17</f>
        <v>Increased household access to sustainable, affordable, and safe sanitation services.​</v>
      </c>
      <c r="H17" s="227" t="str">
        <f>'Log frame'!G17</f>
        <v>Increased household access to hygiene services.</v>
      </c>
      <c r="I17" s="228" t="s">
        <v>14</v>
      </c>
      <c r="J17" s="227" t="s">
        <v>15</v>
      </c>
      <c r="K17" s="225"/>
    </row>
    <row r="18" spans="1:11" ht="18" customHeight="1">
      <c r="A18" s="225"/>
      <c r="B18" s="420" t="s">
        <v>16</v>
      </c>
      <c r="C18" s="230">
        <v>1110</v>
      </c>
      <c r="D18" s="82">
        <v>1210</v>
      </c>
      <c r="E18" s="229" t="s">
        <v>17</v>
      </c>
      <c r="F18" s="229">
        <v>2110</v>
      </c>
      <c r="G18" s="229">
        <v>2210</v>
      </c>
      <c r="H18" s="229">
        <v>2310</v>
      </c>
      <c r="I18" s="29">
        <v>3110</v>
      </c>
      <c r="J18" s="85">
        <v>3210</v>
      </c>
      <c r="K18" s="225"/>
    </row>
    <row r="19" spans="1:11" ht="147" customHeight="1">
      <c r="A19" s="225"/>
      <c r="B19" s="419"/>
      <c r="C19" s="88" t="str">
        <f>'Log frame'!B19</f>
        <v>Support civil society engagement in the WASH sector.​</v>
      </c>
      <c r="D19" s="84" t="str">
        <f>'Log frame'!C19</f>
        <v>Create or improve commune action plans that focus on water, sanitation and hygiene, and water resource management.​</v>
      </c>
      <c r="E19" s="26" t="str">
        <f>'Log frame'!D19</f>
        <v>Monitor WASH service performance and satisfaction.</v>
      </c>
      <c r="F19" s="27" t="str">
        <f>'Log frame'!E19</f>
        <v xml:space="preserve">Develop community managed water points. </v>
      </c>
      <c r="G19" s="26" t="str">
        <f>'Log frame'!F19</f>
        <v>Mobilize communities to achieve Open Defecation Free status</v>
      </c>
      <c r="H19" s="27" t="str">
        <f>'Log frame'!G19</f>
        <v>Train skilled community animators to deliver hygiene trainings and community mobilization.​</v>
      </c>
      <c r="I19" s="26" t="s">
        <v>18</v>
      </c>
      <c r="J19" s="84" t="s">
        <v>19</v>
      </c>
      <c r="K19" s="225"/>
    </row>
    <row r="20" spans="1:11" ht="15.95" customHeight="1">
      <c r="A20" s="225"/>
      <c r="B20" s="419"/>
      <c r="C20" s="89">
        <v>1120</v>
      </c>
      <c r="D20" s="82">
        <v>1220</v>
      </c>
      <c r="E20" s="82">
        <v>1320</v>
      </c>
      <c r="F20" s="82">
        <v>2120</v>
      </c>
      <c r="G20" s="85">
        <v>2220</v>
      </c>
      <c r="H20" s="82">
        <v>2320</v>
      </c>
      <c r="I20" s="29">
        <v>3120</v>
      </c>
      <c r="J20" s="85">
        <v>3220</v>
      </c>
      <c r="K20" s="225"/>
    </row>
    <row r="21" spans="1:11" ht="147" customHeight="1">
      <c r="A21" s="225"/>
      <c r="B21" s="421"/>
      <c r="C21" s="90" t="str">
        <f>'Log frame'!B21</f>
        <v>Train HANWASH Ambassadors &amp; Coordinators and their committees throughout the Caribbean.​</v>
      </c>
      <c r="D21" s="84" t="str">
        <f>'Log frame'!C21</f>
        <v>Facilitate coordination meetings between commune WASH stakeholders.</v>
      </c>
      <c r="E21" s="27" t="str">
        <f>'Log frame'!D21</f>
        <v>Review service provider performance with stakeholders.</v>
      </c>
      <c r="F21" s="84" t="str">
        <f>'Log frame'!E21</f>
        <v>Rehabilitate and expand professionally operated piped water systems.</v>
      </c>
      <c r="G21" s="106" t="str">
        <f>'Log frame'!F21</f>
        <v>Certify the sustained usage of sanitation services.</v>
      </c>
      <c r="H21" s="84" t="s">
        <v>20</v>
      </c>
      <c r="I21" s="26" t="s">
        <v>21</v>
      </c>
      <c r="J21" s="222" t="s">
        <v>22</v>
      </c>
      <c r="K21" s="225"/>
    </row>
    <row r="22" spans="1:11">
      <c r="A22" s="225"/>
      <c r="B22" s="225"/>
      <c r="C22" s="225"/>
      <c r="D22" s="225"/>
      <c r="E22" s="225"/>
      <c r="F22" s="225"/>
      <c r="G22" s="225"/>
      <c r="H22" s="225"/>
      <c r="I22" s="225"/>
      <c r="J22" s="225"/>
      <c r="K22" s="225"/>
    </row>
    <row r="23" spans="1:11">
      <c r="B23" s="5"/>
    </row>
    <row r="24" spans="1:11">
      <c r="B24" s="5"/>
    </row>
    <row r="25" spans="1:11">
      <c r="B25" s="5"/>
    </row>
    <row r="26" spans="1:11">
      <c r="B26" s="5"/>
    </row>
    <row r="27" spans="1:11">
      <c r="B27" s="5"/>
    </row>
    <row r="28" spans="1:11">
      <c r="B28" s="5"/>
    </row>
    <row r="29" spans="1:11">
      <c r="B29" s="5"/>
    </row>
    <row r="30" spans="1:11">
      <c r="B30" s="5"/>
    </row>
    <row r="31" spans="1:11">
      <c r="B31" s="5"/>
    </row>
    <row r="32" spans="1:11">
      <c r="B32" s="5"/>
    </row>
    <row r="33" spans="2:2">
      <c r="B33" s="5"/>
    </row>
    <row r="34" spans="2:2">
      <c r="B34" s="5"/>
    </row>
  </sheetData>
  <mergeCells count="13">
    <mergeCell ref="B16:B17"/>
    <mergeCell ref="B18:B21"/>
    <mergeCell ref="F14:H14"/>
    <mergeCell ref="F15:H15"/>
    <mergeCell ref="C11:J11"/>
    <mergeCell ref="B12:B13"/>
    <mergeCell ref="C12:J12"/>
    <mergeCell ref="C13:J13"/>
    <mergeCell ref="B14:B15"/>
    <mergeCell ref="C14:E14"/>
    <mergeCell ref="I14:J14"/>
    <mergeCell ref="C15:E15"/>
    <mergeCell ref="I15:J15"/>
  </mergeCells>
  <hyperlinks>
    <hyperlink ref="A5" r:id="rId1" xr:uid="{F303E380-FDC1-1E40-B796-6BE5223505F2}"/>
  </hyperlinks>
  <pageMargins left="0.7" right="0.7" top="0.75" bottom="0.75" header="0.3" footer="0.3"/>
  <pageSetup fitToHeight="0"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11C77-12B3-44B4-AD4F-F0EE9D78E986}">
  <dimension ref="A1:L48"/>
  <sheetViews>
    <sheetView tabSelected="1" topLeftCell="E1" workbookViewId="0">
      <selection activeCell="E3" sqref="A1:L47"/>
    </sheetView>
  </sheetViews>
  <sheetFormatPr defaultRowHeight="15.75"/>
  <cols>
    <col min="2" max="2" width="13.625" bestFit="1" customWidth="1"/>
    <col min="3" max="3" width="17.125" customWidth="1"/>
    <col min="4" max="4" width="13.375" bestFit="1" customWidth="1"/>
    <col min="5" max="5" width="70.5" style="20" customWidth="1"/>
    <col min="6" max="6" width="14.75" customWidth="1"/>
    <col min="7" max="7" width="19.25" customWidth="1"/>
    <col min="9" max="9" width="12.875" bestFit="1" customWidth="1"/>
    <col min="10" max="10" width="12.625" bestFit="1" customWidth="1"/>
    <col min="11" max="11" width="12.375" bestFit="1" customWidth="1"/>
    <col min="12" max="12" width="12.625" bestFit="1" customWidth="1"/>
  </cols>
  <sheetData>
    <row r="1" spans="1:12" ht="16.5">
      <c r="A1" s="543" t="s">
        <v>23</v>
      </c>
      <c r="B1" s="543" t="s">
        <v>24</v>
      </c>
      <c r="C1" s="543" t="s">
        <v>25</v>
      </c>
      <c r="D1" s="543" t="s">
        <v>26</v>
      </c>
      <c r="E1" s="544" t="s">
        <v>27</v>
      </c>
      <c r="F1" s="543" t="s">
        <v>28</v>
      </c>
      <c r="G1" s="543" t="s">
        <v>29</v>
      </c>
      <c r="H1" s="543" t="s">
        <v>30</v>
      </c>
      <c r="I1" s="543" t="s">
        <v>31</v>
      </c>
      <c r="J1" s="543" t="s">
        <v>32</v>
      </c>
      <c r="K1" s="543" t="s">
        <v>33</v>
      </c>
      <c r="L1" s="543" t="s">
        <v>34</v>
      </c>
    </row>
    <row r="2" spans="1:12" ht="32.25">
      <c r="A2" s="545">
        <v>1</v>
      </c>
      <c r="B2" s="546"/>
      <c r="C2" s="546" t="s">
        <v>10</v>
      </c>
      <c r="D2" s="545">
        <v>1</v>
      </c>
      <c r="E2" s="547" t="s">
        <v>35</v>
      </c>
      <c r="F2" s="548" t="s">
        <v>36</v>
      </c>
      <c r="G2" s="548" t="s">
        <v>36</v>
      </c>
      <c r="H2" s="418"/>
      <c r="I2" s="418"/>
      <c r="J2" s="418"/>
      <c r="K2" s="418"/>
      <c r="L2" s="418"/>
    </row>
    <row r="3" spans="1:12" ht="32.25">
      <c r="A3" s="549">
        <v>1000</v>
      </c>
      <c r="B3" s="550"/>
      <c r="C3" s="550" t="s">
        <v>37</v>
      </c>
      <c r="D3" s="549">
        <v>1000</v>
      </c>
      <c r="E3" s="548" t="s">
        <v>38</v>
      </c>
      <c r="F3" s="551" t="s">
        <v>36</v>
      </c>
      <c r="G3" s="551" t="s">
        <v>36</v>
      </c>
      <c r="H3" s="418"/>
      <c r="I3" s="418"/>
      <c r="J3" s="418"/>
      <c r="K3" s="418"/>
      <c r="L3" s="418"/>
    </row>
    <row r="4" spans="1:12" ht="162">
      <c r="A4" s="552" t="s">
        <v>39</v>
      </c>
      <c r="B4" s="550"/>
      <c r="C4" s="553" t="s">
        <v>40</v>
      </c>
      <c r="D4" s="554">
        <v>1100</v>
      </c>
      <c r="E4" s="551" t="s">
        <v>41</v>
      </c>
      <c r="F4" s="555" t="s">
        <v>42</v>
      </c>
      <c r="G4" s="555" t="s">
        <v>43</v>
      </c>
      <c r="H4" s="418"/>
      <c r="I4" s="418"/>
      <c r="J4" s="418"/>
      <c r="K4" s="418"/>
      <c r="L4" s="418"/>
    </row>
    <row r="5" spans="1:12" ht="178.5">
      <c r="A5" s="552" t="s">
        <v>44</v>
      </c>
      <c r="B5" s="550"/>
      <c r="C5" s="553" t="s">
        <v>40</v>
      </c>
      <c r="D5" s="554">
        <v>1100</v>
      </c>
      <c r="E5" s="555" t="s">
        <v>41</v>
      </c>
      <c r="F5" s="555" t="s">
        <v>45</v>
      </c>
      <c r="G5" s="555" t="s">
        <v>46</v>
      </c>
      <c r="H5" s="418"/>
      <c r="I5" s="418"/>
      <c r="J5" s="418"/>
      <c r="K5" s="418"/>
      <c r="L5" s="418"/>
    </row>
    <row r="6" spans="1:12" ht="113.25">
      <c r="A6" s="556" t="s">
        <v>47</v>
      </c>
      <c r="B6" s="550"/>
      <c r="C6" s="142" t="s">
        <v>16</v>
      </c>
      <c r="D6" s="124">
        <v>1110</v>
      </c>
      <c r="E6" s="555" t="s">
        <v>48</v>
      </c>
      <c r="F6" s="122" t="s">
        <v>49</v>
      </c>
      <c r="G6" s="142" t="s">
        <v>50</v>
      </c>
      <c r="H6" s="418"/>
      <c r="I6" s="418"/>
      <c r="J6" s="418"/>
      <c r="K6" s="418"/>
      <c r="L6" s="418"/>
    </row>
    <row r="7" spans="1:12" ht="404.25">
      <c r="A7" s="552" t="s">
        <v>51</v>
      </c>
      <c r="B7" s="550"/>
      <c r="C7" s="553" t="s">
        <v>40</v>
      </c>
      <c r="D7" s="555">
        <v>1200</v>
      </c>
      <c r="E7" s="122" t="s">
        <v>52</v>
      </c>
      <c r="F7" s="555" t="s">
        <v>53</v>
      </c>
      <c r="G7" s="555" t="s">
        <v>54</v>
      </c>
      <c r="H7" s="418"/>
      <c r="I7" s="418"/>
      <c r="J7" s="418"/>
      <c r="K7" s="418"/>
      <c r="L7" s="418"/>
    </row>
    <row r="8" spans="1:12" ht="178.5">
      <c r="A8" s="556" t="s">
        <v>55</v>
      </c>
      <c r="B8" s="550"/>
      <c r="C8" s="142" t="s">
        <v>16</v>
      </c>
      <c r="D8" s="124">
        <v>1210</v>
      </c>
      <c r="E8" s="555" t="s">
        <v>56</v>
      </c>
      <c r="F8" s="122" t="s">
        <v>57</v>
      </c>
      <c r="G8" s="142" t="s">
        <v>58</v>
      </c>
      <c r="H8" s="418"/>
      <c r="I8" s="418"/>
      <c r="J8" s="418"/>
      <c r="K8" s="418"/>
      <c r="L8" s="418"/>
    </row>
    <row r="9" spans="1:12" ht="178.5">
      <c r="A9" s="556" t="s">
        <v>59</v>
      </c>
      <c r="B9" s="550"/>
      <c r="C9" s="142" t="s">
        <v>16</v>
      </c>
      <c r="D9" s="124">
        <v>1220</v>
      </c>
      <c r="E9" s="122" t="s">
        <v>60</v>
      </c>
      <c r="F9" s="122" t="s">
        <v>61</v>
      </c>
      <c r="G9" s="142" t="s">
        <v>62</v>
      </c>
      <c r="H9" s="418"/>
      <c r="I9" s="418"/>
      <c r="J9" s="418"/>
      <c r="K9" s="418"/>
      <c r="L9" s="418"/>
    </row>
    <row r="10" spans="1:12" ht="409.6">
      <c r="A10" s="552" t="s">
        <v>63</v>
      </c>
      <c r="B10" s="550"/>
      <c r="C10" s="553" t="s">
        <v>40</v>
      </c>
      <c r="D10" s="553">
        <v>1300</v>
      </c>
      <c r="E10" s="122" t="s">
        <v>64</v>
      </c>
      <c r="F10" s="555" t="s">
        <v>65</v>
      </c>
      <c r="G10" s="553" t="s">
        <v>66</v>
      </c>
      <c r="H10" s="418"/>
      <c r="I10" s="418"/>
      <c r="J10" s="418"/>
      <c r="K10" s="418"/>
      <c r="L10" s="418"/>
    </row>
    <row r="11" spans="1:12" ht="409.6">
      <c r="A11" s="552" t="s">
        <v>67</v>
      </c>
      <c r="B11" s="550"/>
      <c r="C11" s="553" t="s">
        <v>40</v>
      </c>
      <c r="D11" s="553">
        <v>1300</v>
      </c>
      <c r="E11" s="553" t="s">
        <v>64</v>
      </c>
      <c r="F11" s="552" t="s">
        <v>68</v>
      </c>
      <c r="G11" s="553" t="s">
        <v>69</v>
      </c>
      <c r="H11" s="418"/>
      <c r="I11" s="418"/>
      <c r="J11" s="418"/>
      <c r="K11" s="418"/>
      <c r="L11" s="418"/>
    </row>
    <row r="12" spans="1:12" ht="226.5">
      <c r="A12" s="552" t="s">
        <v>70</v>
      </c>
      <c r="B12" s="550"/>
      <c r="C12" s="553" t="s">
        <v>40</v>
      </c>
      <c r="D12" s="553">
        <v>1300</v>
      </c>
      <c r="E12" s="553" t="s">
        <v>64</v>
      </c>
      <c r="F12" s="553" t="s">
        <v>71</v>
      </c>
      <c r="G12" s="553" t="s">
        <v>72</v>
      </c>
      <c r="H12" s="418"/>
      <c r="I12" s="418"/>
      <c r="J12" s="418"/>
      <c r="K12" s="418"/>
      <c r="L12" s="418"/>
    </row>
    <row r="13" spans="1:12" ht="307.5">
      <c r="A13" s="556" t="s">
        <v>73</v>
      </c>
      <c r="B13" s="550"/>
      <c r="C13" s="142" t="s">
        <v>16</v>
      </c>
      <c r="D13" s="124">
        <v>1310</v>
      </c>
      <c r="E13" s="553" t="s">
        <v>74</v>
      </c>
      <c r="F13" s="556" t="s">
        <v>75</v>
      </c>
      <c r="G13" s="142" t="s">
        <v>76</v>
      </c>
      <c r="H13" s="418"/>
      <c r="I13" s="418"/>
      <c r="J13" s="418"/>
      <c r="K13" s="418"/>
      <c r="L13" s="418"/>
    </row>
    <row r="14" spans="1:12" ht="339.75">
      <c r="A14" s="556" t="s">
        <v>77</v>
      </c>
      <c r="B14" s="550"/>
      <c r="C14" s="142" t="s">
        <v>16</v>
      </c>
      <c r="D14" s="124">
        <v>1310</v>
      </c>
      <c r="E14" s="122" t="s">
        <v>74</v>
      </c>
      <c r="F14" s="556" t="s">
        <v>78</v>
      </c>
      <c r="G14" s="142" t="s">
        <v>76</v>
      </c>
      <c r="H14" s="418"/>
      <c r="I14" s="418"/>
      <c r="J14" s="418"/>
      <c r="K14" s="418"/>
      <c r="L14" s="418"/>
    </row>
    <row r="15" spans="1:12" ht="146.25">
      <c r="A15" s="556" t="s">
        <v>79</v>
      </c>
      <c r="B15" s="550"/>
      <c r="C15" s="142" t="s">
        <v>16</v>
      </c>
      <c r="D15" s="124">
        <v>1310</v>
      </c>
      <c r="E15" s="122" t="s">
        <v>74</v>
      </c>
      <c r="F15" s="556" t="s">
        <v>80</v>
      </c>
      <c r="G15" s="142" t="s">
        <v>81</v>
      </c>
      <c r="H15" s="418"/>
      <c r="I15" s="418"/>
      <c r="J15" s="418"/>
      <c r="K15" s="418"/>
      <c r="L15" s="418"/>
    </row>
    <row r="16" spans="1:12" ht="356.25">
      <c r="A16" s="556" t="s">
        <v>82</v>
      </c>
      <c r="B16" s="550"/>
      <c r="C16" s="142" t="s">
        <v>16</v>
      </c>
      <c r="D16" s="124">
        <v>1310</v>
      </c>
      <c r="E16" s="122" t="s">
        <v>74</v>
      </c>
      <c r="F16" s="556" t="s">
        <v>83</v>
      </c>
      <c r="G16" s="142" t="s">
        <v>84</v>
      </c>
      <c r="H16" s="418"/>
      <c r="I16" s="418"/>
      <c r="J16" s="418"/>
      <c r="K16" s="418"/>
      <c r="L16" s="418"/>
    </row>
    <row r="17" spans="1:12" ht="409.6">
      <c r="A17" s="556" t="s">
        <v>85</v>
      </c>
      <c r="B17" s="550"/>
      <c r="C17" s="142" t="s">
        <v>16</v>
      </c>
      <c r="D17" s="124">
        <v>1320</v>
      </c>
      <c r="E17" s="122" t="s">
        <v>86</v>
      </c>
      <c r="F17" s="556" t="s">
        <v>87</v>
      </c>
      <c r="G17" s="142" t="s">
        <v>58</v>
      </c>
      <c r="H17" s="418"/>
      <c r="I17" s="418"/>
      <c r="J17" s="418"/>
      <c r="K17" s="418"/>
      <c r="L17" s="418"/>
    </row>
    <row r="18" spans="1:12" ht="32.25">
      <c r="A18" s="549">
        <v>2000</v>
      </c>
      <c r="B18" s="550"/>
      <c r="C18" s="550" t="s">
        <v>37</v>
      </c>
      <c r="D18" s="549">
        <v>2000</v>
      </c>
      <c r="E18" s="122" t="s">
        <v>88</v>
      </c>
      <c r="F18" s="551" t="s">
        <v>36</v>
      </c>
      <c r="G18" s="551" t="s">
        <v>36</v>
      </c>
      <c r="H18" s="418"/>
      <c r="I18" s="418"/>
      <c r="J18" s="418"/>
      <c r="K18" s="418"/>
      <c r="L18" s="418"/>
    </row>
    <row r="19" spans="1:12" ht="409.6">
      <c r="A19" s="552" t="s">
        <v>89</v>
      </c>
      <c r="B19" s="550"/>
      <c r="C19" s="553" t="s">
        <v>40</v>
      </c>
      <c r="D19" s="555">
        <v>2100</v>
      </c>
      <c r="E19" s="551" t="s">
        <v>90</v>
      </c>
      <c r="F19" s="552" t="s">
        <v>91</v>
      </c>
      <c r="G19" s="553" t="s">
        <v>92</v>
      </c>
      <c r="H19" s="418"/>
      <c r="I19" s="418"/>
      <c r="J19" s="418"/>
      <c r="K19" s="418"/>
      <c r="L19" s="418"/>
    </row>
    <row r="20" spans="1:12" ht="409.6">
      <c r="A20" s="552" t="s">
        <v>93</v>
      </c>
      <c r="B20" s="550"/>
      <c r="C20" s="553" t="s">
        <v>40</v>
      </c>
      <c r="D20" s="555">
        <v>2100</v>
      </c>
      <c r="E20" s="555" t="s">
        <v>90</v>
      </c>
      <c r="F20" s="552" t="s">
        <v>94</v>
      </c>
      <c r="G20" s="553" t="s">
        <v>92</v>
      </c>
      <c r="H20" s="418"/>
      <c r="I20" s="418"/>
      <c r="J20" s="418"/>
      <c r="K20" s="418"/>
      <c r="L20" s="418"/>
    </row>
    <row r="21" spans="1:12" ht="409.6">
      <c r="A21" s="552" t="s">
        <v>95</v>
      </c>
      <c r="B21" s="550"/>
      <c r="C21" s="553" t="s">
        <v>40</v>
      </c>
      <c r="D21" s="555">
        <v>2100</v>
      </c>
      <c r="E21" s="555" t="s">
        <v>90</v>
      </c>
      <c r="F21" s="552" t="s">
        <v>96</v>
      </c>
      <c r="G21" s="555" t="s">
        <v>69</v>
      </c>
      <c r="H21" s="418"/>
      <c r="I21" s="418"/>
      <c r="J21" s="418"/>
      <c r="K21" s="418"/>
      <c r="L21" s="418"/>
    </row>
    <row r="22" spans="1:12" ht="409.6">
      <c r="A22" s="556" t="s">
        <v>97</v>
      </c>
      <c r="B22" s="550"/>
      <c r="C22" s="142" t="s">
        <v>16</v>
      </c>
      <c r="D22" s="122">
        <v>2110</v>
      </c>
      <c r="E22" s="555" t="s">
        <v>98</v>
      </c>
      <c r="F22" s="556" t="s">
        <v>99</v>
      </c>
      <c r="G22" s="142" t="s">
        <v>100</v>
      </c>
      <c r="H22" s="418"/>
      <c r="I22" s="418"/>
      <c r="J22" s="418"/>
      <c r="K22" s="418"/>
      <c r="L22" s="418"/>
    </row>
    <row r="23" spans="1:12" ht="409.6">
      <c r="A23" s="556" t="s">
        <v>101</v>
      </c>
      <c r="B23" s="550"/>
      <c r="C23" s="142" t="s">
        <v>16</v>
      </c>
      <c r="D23" s="122">
        <v>2120</v>
      </c>
      <c r="E23" s="122" t="s">
        <v>102</v>
      </c>
      <c r="F23" s="556" t="s">
        <v>103</v>
      </c>
      <c r="G23" s="142" t="s">
        <v>100</v>
      </c>
      <c r="H23" s="418"/>
      <c r="I23" s="418"/>
      <c r="J23" s="418"/>
      <c r="K23" s="418"/>
      <c r="L23" s="418"/>
    </row>
    <row r="24" spans="1:12" ht="409.6">
      <c r="A24" s="552" t="s">
        <v>104</v>
      </c>
      <c r="B24" s="550"/>
      <c r="C24" s="553" t="s">
        <v>40</v>
      </c>
      <c r="D24" s="555">
        <v>2200</v>
      </c>
      <c r="E24" s="122" t="s">
        <v>105</v>
      </c>
      <c r="F24" s="557" t="s">
        <v>106</v>
      </c>
      <c r="G24" s="555" t="s">
        <v>107</v>
      </c>
      <c r="H24" s="418"/>
      <c r="I24" s="418"/>
      <c r="J24" s="418"/>
      <c r="K24" s="418"/>
      <c r="L24" s="418"/>
    </row>
    <row r="25" spans="1:12" ht="226.5">
      <c r="A25" s="552" t="s">
        <v>108</v>
      </c>
      <c r="B25" s="550"/>
      <c r="C25" s="553" t="s">
        <v>40</v>
      </c>
      <c r="D25" s="555">
        <v>2200</v>
      </c>
      <c r="E25" s="555" t="s">
        <v>105</v>
      </c>
      <c r="F25" s="552" t="s">
        <v>109</v>
      </c>
      <c r="G25" s="553" t="s">
        <v>107</v>
      </c>
      <c r="H25" s="418"/>
      <c r="I25" s="418"/>
      <c r="J25" s="418"/>
      <c r="K25" s="418"/>
      <c r="L25" s="418"/>
    </row>
    <row r="26" spans="1:12" ht="409.6">
      <c r="A26" s="552" t="s">
        <v>110</v>
      </c>
      <c r="B26" s="550"/>
      <c r="C26" s="553" t="s">
        <v>40</v>
      </c>
      <c r="D26" s="555">
        <v>2200</v>
      </c>
      <c r="E26" s="555" t="s">
        <v>105</v>
      </c>
      <c r="F26" s="552" t="s">
        <v>111</v>
      </c>
      <c r="G26" s="553" t="s">
        <v>112</v>
      </c>
      <c r="H26" s="418"/>
      <c r="I26" s="418"/>
      <c r="J26" s="418"/>
      <c r="K26" s="418"/>
      <c r="L26" s="418"/>
    </row>
    <row r="27" spans="1:12" ht="339.75">
      <c r="A27" s="556" t="s">
        <v>113</v>
      </c>
      <c r="B27" s="550"/>
      <c r="C27" s="142" t="s">
        <v>16</v>
      </c>
      <c r="D27" s="124">
        <v>2210</v>
      </c>
      <c r="E27" s="555" t="s">
        <v>114</v>
      </c>
      <c r="F27" s="556" t="s">
        <v>115</v>
      </c>
      <c r="G27" s="142" t="s">
        <v>100</v>
      </c>
      <c r="H27" s="418"/>
      <c r="I27" s="418"/>
      <c r="J27" s="418"/>
      <c r="K27" s="418"/>
      <c r="L27" s="418"/>
    </row>
    <row r="28" spans="1:12" ht="113.25">
      <c r="A28" s="556" t="s">
        <v>116</v>
      </c>
      <c r="B28" s="550"/>
      <c r="C28" s="142" t="s">
        <v>16</v>
      </c>
      <c r="D28" s="124">
        <v>2230</v>
      </c>
      <c r="E28" s="122" t="s">
        <v>117</v>
      </c>
      <c r="F28" s="122" t="s">
        <v>118</v>
      </c>
      <c r="G28" s="142" t="s">
        <v>119</v>
      </c>
      <c r="H28" s="418"/>
      <c r="I28" s="418"/>
      <c r="J28" s="418"/>
      <c r="K28" s="418"/>
      <c r="L28" s="418"/>
    </row>
    <row r="29" spans="1:12" ht="409.6">
      <c r="A29" s="552" t="s">
        <v>120</v>
      </c>
      <c r="B29" s="550"/>
      <c r="C29" s="553" t="s">
        <v>40</v>
      </c>
      <c r="D29" s="555">
        <v>2300</v>
      </c>
      <c r="E29" s="122" t="s">
        <v>121</v>
      </c>
      <c r="F29" s="552" t="s">
        <v>122</v>
      </c>
      <c r="G29" s="553" t="s">
        <v>123</v>
      </c>
      <c r="H29" s="418"/>
      <c r="I29" s="418"/>
      <c r="J29" s="418"/>
      <c r="K29" s="418"/>
      <c r="L29" s="418"/>
    </row>
    <row r="30" spans="1:12" ht="162">
      <c r="A30" s="556" t="s">
        <v>124</v>
      </c>
      <c r="B30" s="550"/>
      <c r="C30" s="142" t="s">
        <v>16</v>
      </c>
      <c r="D30" s="124">
        <v>2310</v>
      </c>
      <c r="E30" s="555" t="s">
        <v>125</v>
      </c>
      <c r="F30" s="122" t="s">
        <v>126</v>
      </c>
      <c r="G30" s="142" t="s">
        <v>127</v>
      </c>
      <c r="H30" s="418"/>
      <c r="I30" s="418"/>
      <c r="J30" s="418"/>
      <c r="K30" s="418"/>
      <c r="L30" s="418"/>
    </row>
    <row r="31" spans="1:12" ht="409.6">
      <c r="A31" s="122" t="s">
        <v>128</v>
      </c>
      <c r="B31" s="550"/>
      <c r="C31" s="142" t="s">
        <v>16</v>
      </c>
      <c r="D31" s="124">
        <v>2310</v>
      </c>
      <c r="E31" s="122" t="s">
        <v>125</v>
      </c>
      <c r="F31" s="122" t="s">
        <v>129</v>
      </c>
      <c r="G31" s="142" t="s">
        <v>130</v>
      </c>
      <c r="H31" s="418"/>
      <c r="I31" s="418"/>
      <c r="J31" s="418"/>
      <c r="K31" s="418"/>
      <c r="L31" s="418"/>
    </row>
    <row r="32" spans="1:12" ht="356.25">
      <c r="A32" s="122" t="s">
        <v>131</v>
      </c>
      <c r="B32" s="550"/>
      <c r="C32" s="142" t="s">
        <v>16</v>
      </c>
      <c r="D32" s="124">
        <v>2320</v>
      </c>
      <c r="E32" s="122" t="s">
        <v>20</v>
      </c>
      <c r="F32" s="556" t="s">
        <v>132</v>
      </c>
      <c r="G32" s="142" t="s">
        <v>100</v>
      </c>
      <c r="H32" s="418"/>
      <c r="I32" s="418"/>
      <c r="J32" s="418"/>
      <c r="K32" s="418"/>
      <c r="L32" s="418"/>
    </row>
    <row r="33" spans="1:12" ht="409.6">
      <c r="A33" s="552" t="s">
        <v>133</v>
      </c>
      <c r="B33" s="550"/>
      <c r="C33" s="553" t="s">
        <v>40</v>
      </c>
      <c r="D33" s="555">
        <v>2400</v>
      </c>
      <c r="E33" s="122" t="s">
        <v>134</v>
      </c>
      <c r="F33" s="558" t="s">
        <v>135</v>
      </c>
      <c r="G33" s="553" t="s">
        <v>136</v>
      </c>
      <c r="H33" s="418"/>
      <c r="I33" s="418"/>
      <c r="J33" s="418"/>
      <c r="K33" s="418"/>
      <c r="L33" s="418"/>
    </row>
    <row r="34" spans="1:12" ht="409.6">
      <c r="A34" s="552" t="s">
        <v>137</v>
      </c>
      <c r="B34" s="550"/>
      <c r="C34" s="553" t="s">
        <v>40</v>
      </c>
      <c r="D34" s="555">
        <v>2400</v>
      </c>
      <c r="E34" s="555" t="s">
        <v>134</v>
      </c>
      <c r="F34" s="558" t="s">
        <v>138</v>
      </c>
      <c r="G34" s="553" t="s">
        <v>139</v>
      </c>
      <c r="H34" s="418"/>
      <c r="I34" s="418"/>
      <c r="J34" s="418"/>
      <c r="K34" s="418"/>
      <c r="L34" s="418"/>
    </row>
    <row r="35" spans="1:12" ht="356.25">
      <c r="A35" s="124" t="s">
        <v>140</v>
      </c>
      <c r="B35" s="550"/>
      <c r="C35" s="142" t="s">
        <v>16</v>
      </c>
      <c r="D35" s="124">
        <v>2410</v>
      </c>
      <c r="E35" s="555" t="s">
        <v>141</v>
      </c>
      <c r="F35" s="559" t="s">
        <v>142</v>
      </c>
      <c r="G35" s="142" t="s">
        <v>143</v>
      </c>
      <c r="H35" s="418"/>
      <c r="I35" s="418"/>
      <c r="J35" s="418"/>
      <c r="K35" s="418"/>
      <c r="L35" s="418"/>
    </row>
    <row r="36" spans="1:12" ht="404.25">
      <c r="A36" s="124" t="s">
        <v>144</v>
      </c>
      <c r="B36" s="550"/>
      <c r="C36" s="142" t="s">
        <v>16</v>
      </c>
      <c r="D36" s="124">
        <v>2410</v>
      </c>
      <c r="E36" s="122" t="s">
        <v>141</v>
      </c>
      <c r="F36" s="559" t="s">
        <v>145</v>
      </c>
      <c r="G36" s="142" t="s">
        <v>146</v>
      </c>
      <c r="H36" s="418"/>
      <c r="I36" s="418"/>
      <c r="J36" s="418"/>
      <c r="K36" s="418"/>
      <c r="L36" s="418"/>
    </row>
    <row r="37" spans="1:12" ht="372">
      <c r="A37" s="122" t="s">
        <v>147</v>
      </c>
      <c r="B37" s="550"/>
      <c r="C37" s="142" t="s">
        <v>16</v>
      </c>
      <c r="D37" s="124">
        <v>2420</v>
      </c>
      <c r="E37" s="122" t="s">
        <v>148</v>
      </c>
      <c r="F37" s="559" t="s">
        <v>149</v>
      </c>
      <c r="G37" s="142" t="s">
        <v>143</v>
      </c>
      <c r="H37" s="418"/>
      <c r="I37" s="418"/>
      <c r="J37" s="418"/>
      <c r="K37" s="418"/>
      <c r="L37" s="418"/>
    </row>
    <row r="38" spans="1:12" ht="409.6">
      <c r="A38" s="122" t="s">
        <v>150</v>
      </c>
      <c r="B38" s="550"/>
      <c r="C38" s="142" t="s">
        <v>16</v>
      </c>
      <c r="D38" s="124">
        <v>2420</v>
      </c>
      <c r="E38" s="122" t="s">
        <v>148</v>
      </c>
      <c r="F38" s="559" t="s">
        <v>151</v>
      </c>
      <c r="G38" s="142" t="s">
        <v>146</v>
      </c>
      <c r="H38" s="418"/>
      <c r="I38" s="418"/>
      <c r="J38" s="418"/>
      <c r="K38" s="418"/>
      <c r="L38" s="418"/>
    </row>
    <row r="39" spans="1:12" ht="356.25">
      <c r="A39" s="122" t="s">
        <v>152</v>
      </c>
      <c r="B39" s="550"/>
      <c r="C39" s="142" t="s">
        <v>16</v>
      </c>
      <c r="D39" s="124">
        <v>2430</v>
      </c>
      <c r="E39" s="122" t="s">
        <v>153</v>
      </c>
      <c r="F39" s="559" t="s">
        <v>154</v>
      </c>
      <c r="G39" s="142" t="s">
        <v>143</v>
      </c>
      <c r="H39" s="418"/>
      <c r="I39" s="418"/>
      <c r="J39" s="418"/>
      <c r="K39" s="418"/>
      <c r="L39" s="418"/>
    </row>
    <row r="40" spans="1:12" ht="409.6">
      <c r="A40" s="122" t="s">
        <v>155</v>
      </c>
      <c r="B40" s="550"/>
      <c r="C40" s="142" t="s">
        <v>16</v>
      </c>
      <c r="D40" s="124">
        <v>2430</v>
      </c>
      <c r="E40" s="122" t="s">
        <v>153</v>
      </c>
      <c r="F40" s="559" t="s">
        <v>156</v>
      </c>
      <c r="G40" s="142" t="s">
        <v>146</v>
      </c>
      <c r="H40" s="418"/>
      <c r="I40" s="418"/>
      <c r="J40" s="418"/>
      <c r="K40" s="418"/>
      <c r="L40" s="418"/>
    </row>
    <row r="41" spans="1:12" ht="32.25">
      <c r="A41" s="551">
        <v>3000</v>
      </c>
      <c r="B41" s="550"/>
      <c r="C41" s="550" t="s">
        <v>37</v>
      </c>
      <c r="D41" s="551">
        <v>3000</v>
      </c>
      <c r="E41" s="122" t="s">
        <v>12</v>
      </c>
      <c r="F41" s="551" t="s">
        <v>36</v>
      </c>
      <c r="G41" s="550" t="s">
        <v>36</v>
      </c>
      <c r="H41" s="418"/>
      <c r="I41" s="418"/>
      <c r="J41" s="418"/>
      <c r="K41" s="418"/>
      <c r="L41" s="418"/>
    </row>
    <row r="42" spans="1:12" ht="409.6">
      <c r="A42" s="555" t="s">
        <v>157</v>
      </c>
      <c r="B42" s="550"/>
      <c r="C42" s="553" t="s">
        <v>40</v>
      </c>
      <c r="D42" s="555">
        <v>3100</v>
      </c>
      <c r="E42" s="551" t="s">
        <v>14</v>
      </c>
      <c r="F42" s="560" t="s">
        <v>158</v>
      </c>
      <c r="G42" s="553" t="s">
        <v>159</v>
      </c>
      <c r="H42" s="418"/>
      <c r="I42" s="418"/>
      <c r="J42" s="418"/>
      <c r="K42" s="418"/>
      <c r="L42" s="418"/>
    </row>
    <row r="43" spans="1:12" ht="162">
      <c r="A43" s="561" t="s">
        <v>160</v>
      </c>
      <c r="B43" s="550"/>
      <c r="C43" s="553" t="s">
        <v>40</v>
      </c>
      <c r="D43" s="555">
        <v>3100</v>
      </c>
      <c r="E43" s="555" t="s">
        <v>14</v>
      </c>
      <c r="F43" s="560" t="s">
        <v>161</v>
      </c>
      <c r="G43" s="553" t="s">
        <v>162</v>
      </c>
      <c r="H43" s="418"/>
      <c r="I43" s="418"/>
      <c r="J43" s="418"/>
      <c r="K43" s="418"/>
      <c r="L43" s="418"/>
    </row>
    <row r="44" spans="1:12" ht="178.5">
      <c r="A44" s="122" t="s">
        <v>163</v>
      </c>
      <c r="B44" s="550"/>
      <c r="C44" s="142" t="s">
        <v>16</v>
      </c>
      <c r="D44" s="124">
        <v>3110</v>
      </c>
      <c r="E44" s="555" t="s">
        <v>18</v>
      </c>
      <c r="F44" s="556" t="s">
        <v>164</v>
      </c>
      <c r="G44" s="142" t="s">
        <v>159</v>
      </c>
      <c r="H44" s="418"/>
      <c r="I44" s="418"/>
      <c r="J44" s="418"/>
      <c r="K44" s="418"/>
      <c r="L44" s="418"/>
    </row>
    <row r="45" spans="1:12" ht="243">
      <c r="A45" s="122" t="s">
        <v>165</v>
      </c>
      <c r="B45" s="550"/>
      <c r="C45" s="142" t="s">
        <v>16</v>
      </c>
      <c r="D45" s="124">
        <v>3120</v>
      </c>
      <c r="E45" s="122" t="s">
        <v>21</v>
      </c>
      <c r="F45" s="556" t="s">
        <v>166</v>
      </c>
      <c r="G45" s="142" t="s">
        <v>159</v>
      </c>
      <c r="H45" s="418"/>
      <c r="I45" s="418"/>
      <c r="J45" s="418"/>
      <c r="K45" s="418"/>
      <c r="L45" s="418"/>
    </row>
    <row r="46" spans="1:12" ht="339.75">
      <c r="A46" s="553" t="s">
        <v>167</v>
      </c>
      <c r="B46" s="550"/>
      <c r="C46" s="553" t="s">
        <v>40</v>
      </c>
      <c r="D46" s="562">
        <v>3200</v>
      </c>
      <c r="E46" s="122" t="s">
        <v>15</v>
      </c>
      <c r="F46" s="555" t="s">
        <v>168</v>
      </c>
      <c r="G46" s="555" t="s">
        <v>169</v>
      </c>
      <c r="H46" s="418"/>
      <c r="I46" s="418"/>
      <c r="J46" s="418"/>
      <c r="K46" s="418"/>
      <c r="L46" s="418"/>
    </row>
    <row r="47" spans="1:12" ht="388.5">
      <c r="A47" s="122" t="s">
        <v>170</v>
      </c>
      <c r="B47" s="142"/>
      <c r="C47" s="142" t="s">
        <v>16</v>
      </c>
      <c r="D47" s="563">
        <v>3220</v>
      </c>
      <c r="E47" s="564" t="s">
        <v>22</v>
      </c>
      <c r="F47" s="556" t="s">
        <v>171</v>
      </c>
      <c r="G47" s="122" t="s">
        <v>172</v>
      </c>
      <c r="H47" s="418"/>
      <c r="I47" s="418"/>
      <c r="J47" s="418"/>
      <c r="K47" s="418"/>
      <c r="L47" s="418"/>
    </row>
    <row r="48" spans="1:12">
      <c r="E48" s="565"/>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9972-58A5-473C-AECA-28A5681A9BF2}">
  <sheetPr>
    <pageSetUpPr fitToPage="1"/>
  </sheetPr>
  <dimension ref="A1:AF57"/>
  <sheetViews>
    <sheetView topLeftCell="F8" zoomScale="88" zoomScaleNormal="88" workbookViewId="0">
      <selection activeCell="G12" sqref="G12:G57"/>
    </sheetView>
  </sheetViews>
  <sheetFormatPr defaultColWidth="11" defaultRowHeight="15.75" customHeight="1"/>
  <cols>
    <col min="1" max="1" width="19.375" style="20" customWidth="1"/>
    <col min="2" max="2" width="7.375" style="7" customWidth="1"/>
    <col min="3" max="3" width="52.125" style="43" customWidth="1"/>
    <col min="4" max="4" width="12.75" style="8" bestFit="1" customWidth="1"/>
    <col min="5" max="5" width="71.125" style="7" customWidth="1"/>
    <col min="6" max="6" width="71.5" style="7" customWidth="1"/>
    <col min="7" max="7" width="17.625" customWidth="1"/>
    <col min="8" max="9" width="11.875" style="7" hidden="1" customWidth="1"/>
    <col min="10" max="10" width="18.625" style="20" customWidth="1"/>
    <col min="11" max="11" width="15" style="20" customWidth="1"/>
    <col min="12" max="12" width="12.25" style="20" customWidth="1"/>
    <col min="13" max="13" width="18.25" style="20" hidden="1" customWidth="1"/>
    <col min="14" max="14" width="18.625" style="20" customWidth="1"/>
    <col min="15" max="15" width="15.5" style="20" hidden="1" customWidth="1"/>
    <col min="16" max="17" width="26.625" hidden="1" customWidth="1"/>
    <col min="18" max="18" width="22.125" style="20" hidden="1" customWidth="1"/>
    <col min="19" max="19" width="21.125" style="20" customWidth="1"/>
    <col min="20" max="20" width="18.125" style="20" customWidth="1"/>
    <col min="21" max="21" width="20" style="20" hidden="1" customWidth="1"/>
    <col min="22" max="22" width="87" style="20" hidden="1" customWidth="1"/>
  </cols>
  <sheetData>
    <row r="1" spans="1:22" ht="15.6">
      <c r="A1" s="456" t="s">
        <v>173</v>
      </c>
      <c r="B1" s="456"/>
      <c r="C1" s="456"/>
      <c r="E1" s="74" t="s">
        <v>174</v>
      </c>
      <c r="F1" s="75"/>
      <c r="G1" s="75"/>
      <c r="H1" s="75"/>
      <c r="I1" s="75"/>
      <c r="J1" s="80"/>
      <c r="K1" s="80"/>
      <c r="L1" s="80"/>
      <c r="M1" s="80"/>
      <c r="N1" s="80"/>
      <c r="O1" s="80"/>
      <c r="P1" s="81"/>
      <c r="Q1" s="81"/>
      <c r="R1" s="80"/>
    </row>
    <row r="2" spans="1:22" ht="15.6">
      <c r="A2" s="457" t="s">
        <v>175</v>
      </c>
      <c r="B2" s="457"/>
      <c r="C2" s="457"/>
      <c r="E2" s="94" t="s">
        <v>176</v>
      </c>
      <c r="F2" s="77" t="str">
        <f>"'-' Not applicable"</f>
        <v>'-' Not applicable</v>
      </c>
    </row>
    <row r="3" spans="1:22" ht="15.95" thickBot="1">
      <c r="A3" s="456" t="s">
        <v>177</v>
      </c>
      <c r="B3" s="456"/>
      <c r="C3" s="456"/>
      <c r="E3" s="72"/>
      <c r="F3" s="73"/>
      <c r="G3" s="78"/>
      <c r="H3" s="73"/>
      <c r="I3" s="73"/>
      <c r="J3" s="79"/>
      <c r="K3" s="79"/>
      <c r="L3" s="79"/>
      <c r="M3" s="79"/>
      <c r="N3" s="79"/>
      <c r="O3" s="79"/>
      <c r="P3" s="78"/>
      <c r="Q3" s="78"/>
      <c r="R3" s="79"/>
      <c r="S3" s="79"/>
      <c r="T3" s="79"/>
    </row>
    <row r="4" spans="1:22" ht="15.6">
      <c r="A4" s="445" t="s">
        <v>178</v>
      </c>
      <c r="B4" s="445"/>
      <c r="C4" s="445"/>
      <c r="E4" s="76" t="s">
        <v>179</v>
      </c>
      <c r="F4" s="456" t="s">
        <v>9</v>
      </c>
      <c r="G4" s="456"/>
      <c r="H4" s="456"/>
      <c r="I4" s="456"/>
      <c r="J4" s="456"/>
      <c r="K4" s="458"/>
      <c r="L4" s="458"/>
      <c r="M4" s="458"/>
      <c r="N4" s="456"/>
      <c r="O4" s="458"/>
      <c r="P4" s="456"/>
      <c r="Q4" s="456"/>
      <c r="R4" s="458"/>
      <c r="S4" s="458"/>
      <c r="T4" s="458"/>
    </row>
    <row r="5" spans="1:22" ht="15.6">
      <c r="A5" s="455" t="s">
        <v>180</v>
      </c>
      <c r="B5" s="455"/>
      <c r="C5" s="455"/>
      <c r="E5" s="387" t="s">
        <v>10</v>
      </c>
      <c r="F5" s="445" t="s">
        <v>181</v>
      </c>
      <c r="G5" s="445"/>
      <c r="H5" s="445"/>
      <c r="I5" s="445"/>
      <c r="J5" s="445"/>
      <c r="K5" s="445"/>
      <c r="L5" s="445"/>
      <c r="M5" s="445"/>
      <c r="N5" s="445"/>
      <c r="O5" s="445"/>
      <c r="P5" s="445"/>
      <c r="Q5" s="445"/>
      <c r="R5" s="445"/>
      <c r="S5" s="445"/>
      <c r="T5" s="445"/>
    </row>
    <row r="6" spans="1:22" ht="15.6">
      <c r="A6" s="444" t="s">
        <v>182</v>
      </c>
      <c r="B6" s="445"/>
      <c r="C6" s="445"/>
      <c r="E6" s="388" t="s">
        <v>37</v>
      </c>
      <c r="F6" s="445" t="s">
        <v>183</v>
      </c>
      <c r="G6" s="445"/>
      <c r="H6" s="445"/>
      <c r="I6" s="445"/>
      <c r="J6" s="445"/>
      <c r="K6" s="446"/>
      <c r="L6" s="446"/>
      <c r="M6" s="446"/>
      <c r="N6" s="445"/>
      <c r="O6" s="446"/>
      <c r="P6" s="445"/>
      <c r="Q6" s="445"/>
      <c r="R6" s="446"/>
      <c r="S6" s="446"/>
      <c r="T6" s="446"/>
    </row>
    <row r="7" spans="1:22" ht="15.6">
      <c r="A7" s="444" t="s">
        <v>184</v>
      </c>
      <c r="B7" s="445"/>
      <c r="C7" s="445"/>
      <c r="E7" s="389" t="s">
        <v>40</v>
      </c>
      <c r="F7" s="445" t="s">
        <v>185</v>
      </c>
      <c r="G7" s="445"/>
      <c r="H7" s="445"/>
      <c r="I7" s="445"/>
      <c r="J7" s="445"/>
      <c r="K7" s="446"/>
      <c r="L7" s="446"/>
      <c r="M7" s="446"/>
      <c r="N7" s="445"/>
      <c r="O7" s="446"/>
      <c r="P7" s="445"/>
      <c r="Q7" s="445"/>
      <c r="R7" s="446"/>
      <c r="S7" s="446"/>
      <c r="T7" s="446"/>
    </row>
    <row r="8" spans="1:22" ht="38.25" customHeight="1">
      <c r="A8" s="447" t="s">
        <v>186</v>
      </c>
      <c r="B8" s="447"/>
      <c r="C8" s="447"/>
      <c r="E8" s="4" t="s">
        <v>187</v>
      </c>
      <c r="F8" s="448" t="s">
        <v>188</v>
      </c>
      <c r="G8" s="448"/>
      <c r="H8" s="448"/>
      <c r="I8" s="448"/>
      <c r="J8" s="448"/>
      <c r="K8" s="449"/>
      <c r="L8" s="449"/>
      <c r="M8" s="449"/>
      <c r="N8" s="448"/>
      <c r="O8" s="449"/>
      <c r="P8" s="448"/>
      <c r="Q8" s="448"/>
      <c r="R8" s="449"/>
      <c r="S8" s="449"/>
      <c r="T8" s="449"/>
    </row>
    <row r="9" spans="1:22" ht="15.75" customHeight="1" thickBot="1"/>
    <row r="10" spans="1:22" ht="15.95" customHeight="1">
      <c r="A10" s="450" t="s">
        <v>189</v>
      </c>
      <c r="B10" s="451"/>
      <c r="C10" s="451"/>
      <c r="D10" s="452" t="s">
        <v>28</v>
      </c>
      <c r="E10" s="452"/>
      <c r="F10" s="452"/>
      <c r="G10" s="452"/>
      <c r="H10" s="452"/>
      <c r="I10" s="452"/>
      <c r="J10" s="452"/>
      <c r="K10" s="452" t="s">
        <v>190</v>
      </c>
      <c r="L10" s="452"/>
      <c r="M10" s="452"/>
      <c r="N10" s="453"/>
      <c r="O10" s="452"/>
      <c r="P10" s="453" t="s">
        <v>191</v>
      </c>
      <c r="Q10" s="453"/>
      <c r="R10" s="452" t="s">
        <v>192</v>
      </c>
      <c r="S10" s="452"/>
      <c r="T10" s="452"/>
      <c r="U10" s="454"/>
      <c r="V10" s="442" t="s">
        <v>193</v>
      </c>
    </row>
    <row r="11" spans="1:22" ht="15.6">
      <c r="A11" s="355" t="s">
        <v>8</v>
      </c>
      <c r="B11" s="337" t="s">
        <v>194</v>
      </c>
      <c r="C11" s="337" t="s">
        <v>9</v>
      </c>
      <c r="D11" s="324" t="s">
        <v>195</v>
      </c>
      <c r="E11" s="338" t="s">
        <v>9</v>
      </c>
      <c r="F11" s="338" t="s">
        <v>29</v>
      </c>
      <c r="G11" s="324" t="s">
        <v>30</v>
      </c>
      <c r="H11" s="338" t="s">
        <v>196</v>
      </c>
      <c r="I11" s="338" t="s">
        <v>197</v>
      </c>
      <c r="J11" s="338" t="s">
        <v>198</v>
      </c>
      <c r="K11" s="324" t="s">
        <v>199</v>
      </c>
      <c r="L11" s="324" t="s">
        <v>200</v>
      </c>
      <c r="M11" s="324" t="s">
        <v>201</v>
      </c>
      <c r="N11" s="324" t="s">
        <v>202</v>
      </c>
      <c r="O11" s="324" t="s">
        <v>203</v>
      </c>
      <c r="P11" s="325" t="s">
        <v>204</v>
      </c>
      <c r="Q11" s="325" t="s">
        <v>190</v>
      </c>
      <c r="R11" s="324" t="s">
        <v>199</v>
      </c>
      <c r="S11" s="324" t="s">
        <v>205</v>
      </c>
      <c r="T11" s="324" t="s">
        <v>206</v>
      </c>
      <c r="U11" s="356" t="s">
        <v>203</v>
      </c>
      <c r="V11" s="443"/>
    </row>
    <row r="12" spans="1:22" ht="34.5" customHeight="1">
      <c r="A12" s="390" t="s">
        <v>10</v>
      </c>
      <c r="B12" s="391">
        <v>1</v>
      </c>
      <c r="C12" s="392" t="str">
        <f>'Log frame'!B13</f>
        <v>Increased access to safe, sustainable and affordable water, sanitation and hygiene (WASH) services in Haiti​.</v>
      </c>
      <c r="D12" s="392" t="s">
        <v>36</v>
      </c>
      <c r="E12" s="392" t="s">
        <v>36</v>
      </c>
      <c r="F12" s="392" t="s">
        <v>36</v>
      </c>
      <c r="G12" s="392" t="s">
        <v>36</v>
      </c>
      <c r="H12" s="326" t="s">
        <v>36</v>
      </c>
      <c r="I12" s="326" t="str">
        <f>"Mattson"</f>
        <v>Mattson</v>
      </c>
      <c r="J12" s="392" t="s">
        <v>36</v>
      </c>
      <c r="K12" s="392" t="s">
        <v>36</v>
      </c>
      <c r="L12" s="392" t="s">
        <v>36</v>
      </c>
      <c r="M12" s="326"/>
      <c r="N12" s="392" t="s">
        <v>36</v>
      </c>
      <c r="O12" s="326" t="s">
        <v>36</v>
      </c>
      <c r="P12" s="326" t="s">
        <v>36</v>
      </c>
      <c r="Q12" s="326" t="s">
        <v>36</v>
      </c>
      <c r="R12" s="326" t="s">
        <v>36</v>
      </c>
      <c r="S12" s="392" t="s">
        <v>36</v>
      </c>
      <c r="T12" s="392" t="s">
        <v>36</v>
      </c>
      <c r="U12" s="358" t="s">
        <v>36</v>
      </c>
      <c r="V12" s="136" t="s">
        <v>207</v>
      </c>
    </row>
    <row r="13" spans="1:22" ht="34.5" customHeight="1">
      <c r="A13" s="393" t="s">
        <v>37</v>
      </c>
      <c r="B13" s="394">
        <v>1000</v>
      </c>
      <c r="C13" s="395" t="str">
        <f>'Log frame'!B15</f>
        <v>Strengthened demand for and management of WASH services in communes.</v>
      </c>
      <c r="D13" s="395" t="s">
        <v>36</v>
      </c>
      <c r="E13" s="395" t="s">
        <v>36</v>
      </c>
      <c r="F13" s="395" t="s">
        <v>36</v>
      </c>
      <c r="G13" s="395" t="s">
        <v>36</v>
      </c>
      <c r="H13" s="326" t="s">
        <v>36</v>
      </c>
      <c r="I13" s="326" t="str">
        <f t="shared" ref="I13:I57" si="0">"Mattson"</f>
        <v>Mattson</v>
      </c>
      <c r="J13" s="395" t="s">
        <v>36</v>
      </c>
      <c r="K13" s="395" t="s">
        <v>36</v>
      </c>
      <c r="L13" s="395" t="s">
        <v>36</v>
      </c>
      <c r="M13" s="326"/>
      <c r="N13" s="395" t="s">
        <v>36</v>
      </c>
      <c r="O13" s="326" t="s">
        <v>36</v>
      </c>
      <c r="P13" s="326" t="s">
        <v>36</v>
      </c>
      <c r="Q13" s="326" t="s">
        <v>36</v>
      </c>
      <c r="R13" s="326" t="s">
        <v>36</v>
      </c>
      <c r="S13" s="395" t="s">
        <v>36</v>
      </c>
      <c r="T13" s="395" t="s">
        <v>36</v>
      </c>
      <c r="U13" s="358" t="s">
        <v>36</v>
      </c>
      <c r="V13" s="136" t="s">
        <v>207</v>
      </c>
    </row>
    <row r="14" spans="1:22" ht="34.5" customHeight="1">
      <c r="A14" s="399" t="s">
        <v>40</v>
      </c>
      <c r="B14" s="400">
        <v>1100</v>
      </c>
      <c r="C14" s="401" t="str">
        <f>'Log frame'!B17</f>
        <v>Increased civil society engagement in decision making and implementation of WASH services.</v>
      </c>
      <c r="D14" s="402" t="s">
        <v>39</v>
      </c>
      <c r="E14" s="401" t="s">
        <v>208</v>
      </c>
      <c r="F14" s="401" t="s">
        <v>42</v>
      </c>
      <c r="G14" s="401" t="s">
        <v>43</v>
      </c>
      <c r="H14" s="326" t="s">
        <v>209</v>
      </c>
      <c r="I14" s="326" t="str">
        <f t="shared" si="0"/>
        <v>Mattson</v>
      </c>
      <c r="J14" s="401" t="s">
        <v>210</v>
      </c>
      <c r="K14" s="403" t="s">
        <v>211</v>
      </c>
      <c r="L14" s="404" t="s">
        <v>212</v>
      </c>
      <c r="M14" s="341" t="s">
        <v>213</v>
      </c>
      <c r="N14" s="405" t="s">
        <v>214</v>
      </c>
      <c r="O14" s="333" t="s">
        <v>215</v>
      </c>
      <c r="P14" s="294"/>
      <c r="Q14" s="294"/>
      <c r="R14" s="341" t="s">
        <v>216</v>
      </c>
      <c r="S14" s="404" t="s">
        <v>217</v>
      </c>
      <c r="T14" s="404" t="s">
        <v>218</v>
      </c>
      <c r="U14" s="359" t="s">
        <v>215</v>
      </c>
      <c r="V14" s="334" t="s">
        <v>219</v>
      </c>
    </row>
    <row r="15" spans="1:22" ht="34.5" customHeight="1">
      <c r="A15" s="399" t="s">
        <v>40</v>
      </c>
      <c r="B15" s="400">
        <v>1100</v>
      </c>
      <c r="C15" s="401" t="s">
        <v>41</v>
      </c>
      <c r="D15" s="402" t="s">
        <v>44</v>
      </c>
      <c r="E15" s="401" t="s">
        <v>220</v>
      </c>
      <c r="F15" s="401" t="s">
        <v>45</v>
      </c>
      <c r="G15" s="401" t="s">
        <v>46</v>
      </c>
      <c r="H15" s="326" t="s">
        <v>221</v>
      </c>
      <c r="I15" s="326" t="s">
        <v>222</v>
      </c>
      <c r="J15" s="401" t="s">
        <v>210</v>
      </c>
      <c r="K15" s="403" t="s">
        <v>211</v>
      </c>
      <c r="L15" s="404" t="s">
        <v>212</v>
      </c>
      <c r="M15" s="341" t="s">
        <v>213</v>
      </c>
      <c r="N15" s="405" t="s">
        <v>214</v>
      </c>
      <c r="O15" s="333" t="s">
        <v>215</v>
      </c>
      <c r="P15" s="341" t="s">
        <v>223</v>
      </c>
      <c r="Q15" s="341" t="s">
        <v>217</v>
      </c>
      <c r="R15" s="341" t="s">
        <v>224</v>
      </c>
      <c r="S15" s="404" t="s">
        <v>217</v>
      </c>
      <c r="T15" s="404" t="s">
        <v>218</v>
      </c>
      <c r="U15" s="360" t="s">
        <v>215</v>
      </c>
      <c r="V15" s="335"/>
    </row>
    <row r="16" spans="1:22" ht="48.6" customHeight="1">
      <c r="A16" s="357" t="s">
        <v>16</v>
      </c>
      <c r="B16" s="339">
        <v>1110</v>
      </c>
      <c r="C16" s="342" t="s">
        <v>48</v>
      </c>
      <c r="D16" s="340" t="s">
        <v>47</v>
      </c>
      <c r="E16" s="326" t="s">
        <v>225</v>
      </c>
      <c r="F16" s="326" t="s">
        <v>49</v>
      </c>
      <c r="G16" s="330" t="s">
        <v>50</v>
      </c>
      <c r="H16" s="326" t="s">
        <v>209</v>
      </c>
      <c r="I16" s="326" t="str">
        <f t="shared" si="0"/>
        <v>Mattson</v>
      </c>
      <c r="J16" s="326" t="s">
        <v>210</v>
      </c>
      <c r="K16" s="333" t="s">
        <v>211</v>
      </c>
      <c r="L16" s="343" t="s">
        <v>212</v>
      </c>
      <c r="M16" s="343" t="s">
        <v>213</v>
      </c>
      <c r="N16" s="330" t="s">
        <v>214</v>
      </c>
      <c r="O16" s="333" t="s">
        <v>215</v>
      </c>
      <c r="P16" s="294"/>
      <c r="Q16" s="294"/>
      <c r="R16" s="329" t="s">
        <v>223</v>
      </c>
      <c r="S16" s="341" t="s">
        <v>217</v>
      </c>
      <c r="T16" s="341" t="s">
        <v>218</v>
      </c>
      <c r="U16" s="359" t="s">
        <v>215</v>
      </c>
      <c r="V16" s="336" t="s">
        <v>219</v>
      </c>
    </row>
    <row r="17" spans="1:22" ht="34.5" customHeight="1">
      <c r="A17" s="399" t="s">
        <v>40</v>
      </c>
      <c r="B17" s="401">
        <v>1200</v>
      </c>
      <c r="C17" s="402" t="str">
        <f>'Log frame'!C17</f>
        <v>Improved commune WASH planning and coordination by local authorities.​</v>
      </c>
      <c r="D17" s="402" t="s">
        <v>51</v>
      </c>
      <c r="E17" s="401" t="s">
        <v>226</v>
      </c>
      <c r="F17" s="401" t="s">
        <v>53</v>
      </c>
      <c r="G17" s="401" t="s">
        <v>54</v>
      </c>
      <c r="H17" s="339" t="s">
        <v>227</v>
      </c>
      <c r="I17" s="339" t="str">
        <f t="shared" si="0"/>
        <v>Mattson</v>
      </c>
      <c r="J17" s="401" t="s">
        <v>228</v>
      </c>
      <c r="K17" s="403" t="s">
        <v>229</v>
      </c>
      <c r="L17" s="405" t="s">
        <v>230</v>
      </c>
      <c r="M17" s="330" t="s">
        <v>213</v>
      </c>
      <c r="N17" s="401" t="s">
        <v>218</v>
      </c>
      <c r="O17" s="333" t="s">
        <v>231</v>
      </c>
      <c r="P17" s="344" t="s">
        <v>232</v>
      </c>
      <c r="Q17" s="294" t="s">
        <v>233</v>
      </c>
      <c r="R17" s="294" t="s">
        <v>223</v>
      </c>
      <c r="S17" s="404" t="s">
        <v>217</v>
      </c>
      <c r="T17" s="404" t="s">
        <v>218</v>
      </c>
      <c r="U17" s="359" t="s">
        <v>231</v>
      </c>
      <c r="V17" s="320" t="s">
        <v>234</v>
      </c>
    </row>
    <row r="18" spans="1:22" ht="34.5" customHeight="1">
      <c r="A18" s="357" t="s">
        <v>16</v>
      </c>
      <c r="B18" s="339">
        <v>1210</v>
      </c>
      <c r="C18" s="345" t="str">
        <f>'Log frame'!C19</f>
        <v>Create or improve commune action plans that focus on water, sanitation and hygiene, and water resource management.​</v>
      </c>
      <c r="D18" s="340" t="s">
        <v>55</v>
      </c>
      <c r="E18" s="346" t="s">
        <v>235</v>
      </c>
      <c r="F18" s="326" t="s">
        <v>57</v>
      </c>
      <c r="G18" s="330" t="s">
        <v>58</v>
      </c>
      <c r="H18" s="339" t="s">
        <v>227</v>
      </c>
      <c r="I18" s="339" t="str">
        <f t="shared" si="0"/>
        <v>Mattson</v>
      </c>
      <c r="J18" s="326" t="s">
        <v>228</v>
      </c>
      <c r="K18" s="347" t="s">
        <v>229</v>
      </c>
      <c r="L18" s="330" t="s">
        <v>230</v>
      </c>
      <c r="M18" s="330" t="s">
        <v>213</v>
      </c>
      <c r="N18" s="326" t="s">
        <v>236</v>
      </c>
      <c r="O18" s="333" t="s">
        <v>231</v>
      </c>
      <c r="P18" s="294"/>
      <c r="Q18" s="294"/>
      <c r="R18" s="329" t="s">
        <v>223</v>
      </c>
      <c r="S18" s="341" t="s">
        <v>217</v>
      </c>
      <c r="T18" s="341" t="s">
        <v>236</v>
      </c>
      <c r="U18" s="359" t="s">
        <v>231</v>
      </c>
      <c r="V18" s="198" t="s">
        <v>237</v>
      </c>
    </row>
    <row r="19" spans="1:22" ht="34.5" customHeight="1">
      <c r="A19" s="357" t="s">
        <v>16</v>
      </c>
      <c r="B19" s="339">
        <v>1220</v>
      </c>
      <c r="C19" s="326" t="str">
        <f>'Log frame'!C21</f>
        <v>Facilitate coordination meetings between commune WASH stakeholders.</v>
      </c>
      <c r="D19" s="340" t="s">
        <v>59</v>
      </c>
      <c r="E19" s="326" t="s">
        <v>238</v>
      </c>
      <c r="F19" s="326" t="s">
        <v>61</v>
      </c>
      <c r="G19" s="330" t="s">
        <v>62</v>
      </c>
      <c r="H19" s="348" t="s">
        <v>209</v>
      </c>
      <c r="I19" s="348" t="str">
        <f t="shared" si="0"/>
        <v>Mattson</v>
      </c>
      <c r="J19" s="326" t="s">
        <v>210</v>
      </c>
      <c r="K19" s="333" t="s">
        <v>211</v>
      </c>
      <c r="L19" s="330" t="s">
        <v>239</v>
      </c>
      <c r="M19" s="330" t="s">
        <v>213</v>
      </c>
      <c r="N19" s="330" t="s">
        <v>214</v>
      </c>
      <c r="O19" s="333" t="s">
        <v>215</v>
      </c>
      <c r="P19" s="349"/>
      <c r="Q19" s="349"/>
      <c r="R19" s="329" t="s">
        <v>223</v>
      </c>
      <c r="S19" s="341" t="s">
        <v>217</v>
      </c>
      <c r="T19" s="341" t="s">
        <v>218</v>
      </c>
      <c r="U19" s="359" t="s">
        <v>215</v>
      </c>
      <c r="V19" s="198" t="s">
        <v>240</v>
      </c>
    </row>
    <row r="20" spans="1:22" ht="34.5" customHeight="1">
      <c r="A20" s="399" t="s">
        <v>40</v>
      </c>
      <c r="B20" s="405">
        <v>1300</v>
      </c>
      <c r="C20" s="405" t="str">
        <f>'Log frame'!D17</f>
        <v>Improved accountability of service providers to users of WASH services.​</v>
      </c>
      <c r="D20" s="402" t="s">
        <v>63</v>
      </c>
      <c r="E20" s="405" t="s">
        <v>241</v>
      </c>
      <c r="F20" s="401" t="s">
        <v>65</v>
      </c>
      <c r="G20" s="405" t="s">
        <v>66</v>
      </c>
      <c r="H20" s="330" t="s">
        <v>227</v>
      </c>
      <c r="I20" s="330" t="s">
        <v>222</v>
      </c>
      <c r="J20" s="405" t="s">
        <v>242</v>
      </c>
      <c r="K20" s="406" t="s">
        <v>243</v>
      </c>
      <c r="L20" s="405" t="s">
        <v>244</v>
      </c>
      <c r="M20" s="330" t="s">
        <v>213</v>
      </c>
      <c r="N20" s="407" t="s">
        <v>214</v>
      </c>
      <c r="O20" s="350" t="s">
        <v>215</v>
      </c>
      <c r="P20" s="330"/>
      <c r="Q20" s="330"/>
      <c r="R20" s="350" t="s">
        <v>245</v>
      </c>
      <c r="S20" s="405" t="s">
        <v>246</v>
      </c>
      <c r="T20" s="405" t="s">
        <v>218</v>
      </c>
      <c r="U20" s="361" t="s">
        <v>247</v>
      </c>
      <c r="V20" s="328" t="s">
        <v>248</v>
      </c>
    </row>
    <row r="21" spans="1:22" ht="34.5" customHeight="1">
      <c r="A21" s="399" t="s">
        <v>40</v>
      </c>
      <c r="B21" s="405">
        <v>1300</v>
      </c>
      <c r="C21" s="405" t="str">
        <f>'Log frame'!D17</f>
        <v>Improved accountability of service providers to users of WASH services.​</v>
      </c>
      <c r="D21" s="402" t="s">
        <v>67</v>
      </c>
      <c r="E21" s="405" t="s">
        <v>249</v>
      </c>
      <c r="F21" s="402" t="s">
        <v>68</v>
      </c>
      <c r="G21" s="405" t="s">
        <v>69</v>
      </c>
      <c r="H21" s="330" t="s">
        <v>227</v>
      </c>
      <c r="I21" s="330" t="str">
        <f t="shared" si="0"/>
        <v>Mattson</v>
      </c>
      <c r="J21" s="405" t="s">
        <v>250</v>
      </c>
      <c r="K21" s="406" t="s">
        <v>251</v>
      </c>
      <c r="L21" s="405" t="s">
        <v>252</v>
      </c>
      <c r="M21" s="330" t="s">
        <v>213</v>
      </c>
      <c r="N21" s="405" t="s">
        <v>236</v>
      </c>
      <c r="O21" s="350" t="s">
        <v>215</v>
      </c>
      <c r="P21" s="330" t="s">
        <v>253</v>
      </c>
      <c r="Q21" s="330"/>
      <c r="R21" s="350" t="s">
        <v>245</v>
      </c>
      <c r="S21" s="405" t="s">
        <v>246</v>
      </c>
      <c r="T21" s="405" t="s">
        <v>236</v>
      </c>
      <c r="U21" s="361" t="s">
        <v>247</v>
      </c>
      <c r="V21" s="332" t="s">
        <v>248</v>
      </c>
    </row>
    <row r="22" spans="1:22" ht="34.5" customHeight="1">
      <c r="A22" s="399" t="s">
        <v>40</v>
      </c>
      <c r="B22" s="405">
        <v>1300</v>
      </c>
      <c r="C22" s="405" t="s">
        <v>64</v>
      </c>
      <c r="D22" s="402" t="s">
        <v>70</v>
      </c>
      <c r="E22" s="405" t="s">
        <v>254</v>
      </c>
      <c r="F22" s="405" t="s">
        <v>71</v>
      </c>
      <c r="G22" s="405" t="s">
        <v>72</v>
      </c>
      <c r="H22" s="330" t="s">
        <v>221</v>
      </c>
      <c r="I22" s="330" t="s">
        <v>222</v>
      </c>
      <c r="J22" s="405" t="s">
        <v>255</v>
      </c>
      <c r="K22" s="406" t="s">
        <v>256</v>
      </c>
      <c r="L22" s="405" t="s">
        <v>257</v>
      </c>
      <c r="M22" s="330" t="s">
        <v>258</v>
      </c>
      <c r="N22" s="405" t="s">
        <v>236</v>
      </c>
      <c r="O22" s="350" t="s">
        <v>215</v>
      </c>
      <c r="P22" s="350" t="s">
        <v>245</v>
      </c>
      <c r="Q22" s="330" t="s">
        <v>259</v>
      </c>
      <c r="R22" s="330" t="s">
        <v>260</v>
      </c>
      <c r="S22" s="405" t="s">
        <v>246</v>
      </c>
      <c r="T22" s="405" t="s">
        <v>236</v>
      </c>
      <c r="U22" s="360" t="s">
        <v>215</v>
      </c>
      <c r="V22" s="335"/>
    </row>
    <row r="23" spans="1:22" ht="34.5" customHeight="1">
      <c r="A23" s="357" t="s">
        <v>16</v>
      </c>
      <c r="B23" s="339">
        <v>1310</v>
      </c>
      <c r="C23" s="351" t="str">
        <f>'Log frame'!D19</f>
        <v>Monitor WASH service performance and satisfaction.</v>
      </c>
      <c r="D23" s="340" t="s">
        <v>73</v>
      </c>
      <c r="E23" s="326" t="s">
        <v>261</v>
      </c>
      <c r="F23" s="340" t="s">
        <v>75</v>
      </c>
      <c r="G23" s="352" t="s">
        <v>76</v>
      </c>
      <c r="H23" s="348" t="s">
        <v>221</v>
      </c>
      <c r="I23" s="348" t="str">
        <f t="shared" si="0"/>
        <v>Mattson</v>
      </c>
      <c r="J23" s="326" t="s">
        <v>262</v>
      </c>
      <c r="K23" s="333" t="s">
        <v>263</v>
      </c>
      <c r="L23" s="330" t="s">
        <v>264</v>
      </c>
      <c r="M23" s="330" t="s">
        <v>213</v>
      </c>
      <c r="N23" s="330" t="s">
        <v>214</v>
      </c>
      <c r="O23" s="333" t="s">
        <v>215</v>
      </c>
      <c r="P23" s="294"/>
      <c r="Q23" s="294"/>
      <c r="R23" s="329" t="s">
        <v>223</v>
      </c>
      <c r="S23" s="341" t="s">
        <v>246</v>
      </c>
      <c r="T23" s="341" t="s">
        <v>218</v>
      </c>
      <c r="U23" s="359" t="s">
        <v>215</v>
      </c>
      <c r="V23" s="327" t="s">
        <v>240</v>
      </c>
    </row>
    <row r="24" spans="1:22" ht="34.5" customHeight="1">
      <c r="A24" s="357" t="s">
        <v>16</v>
      </c>
      <c r="B24" s="339">
        <v>1310</v>
      </c>
      <c r="C24" s="351" t="str">
        <f>C23</f>
        <v>Monitor WASH service performance and satisfaction.</v>
      </c>
      <c r="D24" s="340" t="s">
        <v>77</v>
      </c>
      <c r="E24" s="326" t="s">
        <v>265</v>
      </c>
      <c r="F24" s="340" t="s">
        <v>78</v>
      </c>
      <c r="G24" s="352" t="s">
        <v>76</v>
      </c>
      <c r="H24" s="348" t="s">
        <v>221</v>
      </c>
      <c r="I24" s="348" t="str">
        <f t="shared" si="0"/>
        <v>Mattson</v>
      </c>
      <c r="J24" s="326" t="s">
        <v>262</v>
      </c>
      <c r="K24" s="333" t="s">
        <v>263</v>
      </c>
      <c r="L24" s="330" t="s">
        <v>264</v>
      </c>
      <c r="M24" s="330" t="s">
        <v>213</v>
      </c>
      <c r="N24" s="330" t="s">
        <v>214</v>
      </c>
      <c r="O24" s="333" t="s">
        <v>215</v>
      </c>
      <c r="P24" s="294"/>
      <c r="Q24" s="294"/>
      <c r="R24" s="329" t="s">
        <v>223</v>
      </c>
      <c r="S24" s="341" t="s">
        <v>246</v>
      </c>
      <c r="T24" s="341" t="s">
        <v>218</v>
      </c>
      <c r="U24" s="359" t="s">
        <v>215</v>
      </c>
      <c r="V24" s="327" t="s">
        <v>240</v>
      </c>
    </row>
    <row r="25" spans="1:22" ht="46.5">
      <c r="A25" s="357" t="s">
        <v>16</v>
      </c>
      <c r="B25" s="339">
        <v>1310</v>
      </c>
      <c r="C25" s="351" t="str">
        <f>C24</f>
        <v>Monitor WASH service performance and satisfaction.</v>
      </c>
      <c r="D25" s="340" t="s">
        <v>79</v>
      </c>
      <c r="E25" s="326" t="s">
        <v>266</v>
      </c>
      <c r="F25" s="340" t="s">
        <v>80</v>
      </c>
      <c r="G25" s="330" t="s">
        <v>81</v>
      </c>
      <c r="H25" s="348"/>
      <c r="I25" s="348"/>
      <c r="J25" s="326"/>
      <c r="K25" s="333" t="s">
        <v>267</v>
      </c>
      <c r="L25" s="330" t="s">
        <v>244</v>
      </c>
      <c r="M25" s="330"/>
      <c r="N25" s="330" t="s">
        <v>268</v>
      </c>
      <c r="O25" s="333"/>
      <c r="P25" s="294"/>
      <c r="Q25" s="294"/>
      <c r="R25" s="329" t="s">
        <v>269</v>
      </c>
      <c r="S25" s="341" t="s">
        <v>270</v>
      </c>
      <c r="T25" s="341" t="s">
        <v>218</v>
      </c>
      <c r="U25" s="359"/>
      <c r="V25" s="327"/>
    </row>
    <row r="26" spans="1:22" ht="62.1">
      <c r="A26" s="357" t="s">
        <v>16</v>
      </c>
      <c r="B26" s="339">
        <v>1310</v>
      </c>
      <c r="C26" s="351" t="str">
        <f>C25</f>
        <v>Monitor WASH service performance and satisfaction.</v>
      </c>
      <c r="D26" s="340" t="s">
        <v>82</v>
      </c>
      <c r="E26" s="326" t="s">
        <v>271</v>
      </c>
      <c r="F26" s="340" t="s">
        <v>83</v>
      </c>
      <c r="G26" s="330" t="s">
        <v>84</v>
      </c>
      <c r="H26" s="348"/>
      <c r="I26" s="348"/>
      <c r="J26" s="326" t="s">
        <v>272</v>
      </c>
      <c r="K26" s="333" t="s">
        <v>263</v>
      </c>
      <c r="L26" s="330" t="s">
        <v>257</v>
      </c>
      <c r="M26" s="330" t="s">
        <v>213</v>
      </c>
      <c r="N26" s="330" t="s">
        <v>214</v>
      </c>
      <c r="O26" s="333"/>
      <c r="P26" s="294"/>
      <c r="Q26" s="294"/>
      <c r="R26" s="329"/>
      <c r="S26" s="341" t="s">
        <v>246</v>
      </c>
      <c r="T26" s="341" t="s">
        <v>218</v>
      </c>
      <c r="U26" s="359"/>
      <c r="V26" s="327"/>
    </row>
    <row r="27" spans="1:22" ht="99" customHeight="1">
      <c r="A27" s="357" t="s">
        <v>16</v>
      </c>
      <c r="B27" s="339">
        <v>1320</v>
      </c>
      <c r="C27" s="351" t="str">
        <f>'Log frame'!D21</f>
        <v>Review service provider performance with stakeholders.</v>
      </c>
      <c r="D27" s="340" t="s">
        <v>85</v>
      </c>
      <c r="E27" s="326" t="s">
        <v>273</v>
      </c>
      <c r="F27" s="340" t="s">
        <v>87</v>
      </c>
      <c r="G27" s="352" t="s">
        <v>58</v>
      </c>
      <c r="H27" s="326" t="s">
        <v>227</v>
      </c>
      <c r="I27" s="326" t="str">
        <f t="shared" si="0"/>
        <v>Mattson</v>
      </c>
      <c r="J27" s="326" t="s">
        <v>262</v>
      </c>
      <c r="K27" s="349" t="s">
        <v>274</v>
      </c>
      <c r="L27" s="330" t="s">
        <v>275</v>
      </c>
      <c r="M27" s="352" t="s">
        <v>213</v>
      </c>
      <c r="N27" s="330" t="s">
        <v>236</v>
      </c>
      <c r="O27" s="333" t="s">
        <v>215</v>
      </c>
      <c r="P27" s="294"/>
      <c r="Q27" s="294"/>
      <c r="R27" s="294" t="s">
        <v>36</v>
      </c>
      <c r="S27" s="341" t="s">
        <v>246</v>
      </c>
      <c r="T27" s="294" t="s">
        <v>236</v>
      </c>
      <c r="U27" s="359" t="s">
        <v>215</v>
      </c>
      <c r="V27" s="198" t="s">
        <v>240</v>
      </c>
    </row>
    <row r="28" spans="1:22" ht="34.5" customHeight="1">
      <c r="A28" s="393" t="s">
        <v>37</v>
      </c>
      <c r="B28" s="394">
        <v>2000</v>
      </c>
      <c r="C28" s="396" t="str">
        <f>'Log frame'!E15</f>
        <v>Enhanced household access to and use of sustainable, affordable, and safe water, sanitation and hygiene services.​</v>
      </c>
      <c r="D28" s="397" t="s">
        <v>36</v>
      </c>
      <c r="E28" s="395" t="s">
        <v>36</v>
      </c>
      <c r="F28" s="395" t="s">
        <v>36</v>
      </c>
      <c r="G28" s="395" t="s">
        <v>36</v>
      </c>
      <c r="H28" s="326" t="s">
        <v>36</v>
      </c>
      <c r="I28" s="326" t="str">
        <f t="shared" si="0"/>
        <v>Mattson</v>
      </c>
      <c r="J28" s="395" t="s">
        <v>36</v>
      </c>
      <c r="K28" s="395" t="s">
        <v>36</v>
      </c>
      <c r="L28" s="395" t="s">
        <v>36</v>
      </c>
      <c r="M28" s="326"/>
      <c r="N28" s="395" t="s">
        <v>36</v>
      </c>
      <c r="O28" s="326" t="s">
        <v>36</v>
      </c>
      <c r="P28" s="326" t="s">
        <v>36</v>
      </c>
      <c r="Q28" s="326" t="s">
        <v>36</v>
      </c>
      <c r="R28" s="326" t="s">
        <v>36</v>
      </c>
      <c r="S28" s="395" t="s">
        <v>36</v>
      </c>
      <c r="T28" s="395" t="s">
        <v>36</v>
      </c>
      <c r="U28" s="358" t="s">
        <v>36</v>
      </c>
      <c r="V28" s="136" t="s">
        <v>207</v>
      </c>
    </row>
    <row r="29" spans="1:22" ht="34.5" customHeight="1">
      <c r="A29" s="399" t="s">
        <v>40</v>
      </c>
      <c r="B29" s="401">
        <v>2100</v>
      </c>
      <c r="C29" s="408" t="str">
        <f>'Log frame'!E17</f>
        <v>Increased household access to sustainable, affordable, and safe drinking water services.​</v>
      </c>
      <c r="D29" s="402" t="s">
        <v>89</v>
      </c>
      <c r="E29" s="401" t="s">
        <v>276</v>
      </c>
      <c r="F29" s="402" t="s">
        <v>91</v>
      </c>
      <c r="G29" s="409" t="s">
        <v>92</v>
      </c>
      <c r="H29" s="348" t="s">
        <v>209</v>
      </c>
      <c r="I29" s="348" t="str">
        <f t="shared" si="0"/>
        <v>Mattson</v>
      </c>
      <c r="J29" s="401" t="s">
        <v>277</v>
      </c>
      <c r="K29" s="410" t="s">
        <v>278</v>
      </c>
      <c r="L29" s="405" t="s">
        <v>279</v>
      </c>
      <c r="M29" s="330" t="s">
        <v>258</v>
      </c>
      <c r="N29" s="405" t="s">
        <v>236</v>
      </c>
      <c r="O29" s="333" t="s">
        <v>215</v>
      </c>
      <c r="P29" s="294"/>
      <c r="Q29" s="294"/>
      <c r="R29" s="331" t="s">
        <v>280</v>
      </c>
      <c r="S29" s="404" t="s">
        <v>246</v>
      </c>
      <c r="T29" s="404" t="s">
        <v>236</v>
      </c>
      <c r="U29" s="362" t="s">
        <v>247</v>
      </c>
      <c r="V29" s="198" t="s">
        <v>281</v>
      </c>
    </row>
    <row r="30" spans="1:22" ht="34.5" customHeight="1">
      <c r="A30" s="399" t="s">
        <v>40</v>
      </c>
      <c r="B30" s="401">
        <v>2100</v>
      </c>
      <c r="C30" s="408" t="str">
        <f>'Log frame'!E17</f>
        <v>Increased household access to sustainable, affordable, and safe drinking water services.​</v>
      </c>
      <c r="D30" s="402" t="s">
        <v>93</v>
      </c>
      <c r="E30" s="401" t="s">
        <v>282</v>
      </c>
      <c r="F30" s="402" t="s">
        <v>94</v>
      </c>
      <c r="G30" s="409" t="s">
        <v>92</v>
      </c>
      <c r="H30" s="348" t="s">
        <v>209</v>
      </c>
      <c r="I30" s="348" t="str">
        <f t="shared" si="0"/>
        <v>Mattson</v>
      </c>
      <c r="J30" s="401" t="s">
        <v>283</v>
      </c>
      <c r="K30" s="410" t="s">
        <v>278</v>
      </c>
      <c r="L30" s="405" t="s">
        <v>279</v>
      </c>
      <c r="M30" s="330" t="s">
        <v>258</v>
      </c>
      <c r="N30" s="405" t="s">
        <v>236</v>
      </c>
      <c r="O30" s="333" t="s">
        <v>215</v>
      </c>
      <c r="P30" s="294"/>
      <c r="Q30" s="294"/>
      <c r="R30" s="331" t="s">
        <v>280</v>
      </c>
      <c r="S30" s="404" t="s">
        <v>246</v>
      </c>
      <c r="T30" s="404" t="s">
        <v>236</v>
      </c>
      <c r="U30" s="362" t="s">
        <v>247</v>
      </c>
      <c r="V30" s="198" t="s">
        <v>281</v>
      </c>
    </row>
    <row r="31" spans="1:22" ht="34.5" customHeight="1">
      <c r="A31" s="399" t="s">
        <v>40</v>
      </c>
      <c r="B31" s="401">
        <v>2100</v>
      </c>
      <c r="C31" s="408" t="str">
        <f>'Log frame'!E17</f>
        <v>Increased household access to sustainable, affordable, and safe drinking water services.​</v>
      </c>
      <c r="D31" s="402" t="s">
        <v>95</v>
      </c>
      <c r="E31" s="402" t="s">
        <v>284</v>
      </c>
      <c r="F31" s="402" t="s">
        <v>96</v>
      </c>
      <c r="G31" s="401" t="s">
        <v>69</v>
      </c>
      <c r="H31" s="348" t="s">
        <v>227</v>
      </c>
      <c r="I31" s="348" t="str">
        <f t="shared" si="0"/>
        <v>Mattson</v>
      </c>
      <c r="J31" s="407" t="s">
        <v>228</v>
      </c>
      <c r="K31" s="403" t="s">
        <v>253</v>
      </c>
      <c r="L31" s="407" t="s">
        <v>279</v>
      </c>
      <c r="M31" s="348" t="s">
        <v>258</v>
      </c>
      <c r="N31" s="405" t="s">
        <v>218</v>
      </c>
      <c r="O31" s="333" t="s">
        <v>215</v>
      </c>
      <c r="P31" s="348"/>
      <c r="Q31" s="348"/>
      <c r="R31" s="350" t="s">
        <v>245</v>
      </c>
      <c r="S31" s="404" t="s">
        <v>246</v>
      </c>
      <c r="T31" s="404" t="s">
        <v>236</v>
      </c>
      <c r="U31" s="362" t="s">
        <v>247</v>
      </c>
      <c r="V31" s="328" t="s">
        <v>248</v>
      </c>
    </row>
    <row r="32" spans="1:22" ht="34.5" customHeight="1">
      <c r="A32" s="357" t="s">
        <v>16</v>
      </c>
      <c r="B32" s="326">
        <v>2110</v>
      </c>
      <c r="C32" s="345" t="str">
        <f>'Log frame'!E19</f>
        <v xml:space="preserve">Develop community managed water points. </v>
      </c>
      <c r="D32" s="340" t="s">
        <v>97</v>
      </c>
      <c r="E32" s="326" t="s">
        <v>285</v>
      </c>
      <c r="F32" s="340" t="s">
        <v>99</v>
      </c>
      <c r="G32" s="352" t="s">
        <v>100</v>
      </c>
      <c r="H32" s="348" t="s">
        <v>209</v>
      </c>
      <c r="I32" s="348" t="str">
        <f t="shared" si="0"/>
        <v>Mattson</v>
      </c>
      <c r="J32" s="353" t="s">
        <v>286</v>
      </c>
      <c r="K32" s="333" t="s">
        <v>253</v>
      </c>
      <c r="L32" s="330" t="s">
        <v>279</v>
      </c>
      <c r="M32" s="330" t="s">
        <v>258</v>
      </c>
      <c r="N32" s="330" t="s">
        <v>218</v>
      </c>
      <c r="O32" s="333" t="s">
        <v>215</v>
      </c>
      <c r="P32" s="294"/>
      <c r="Q32" s="294"/>
      <c r="R32" s="331" t="s">
        <v>280</v>
      </c>
      <c r="S32" s="341" t="s">
        <v>217</v>
      </c>
      <c r="T32" s="341" t="s">
        <v>218</v>
      </c>
      <c r="U32" s="362" t="s">
        <v>247</v>
      </c>
      <c r="V32" s="198" t="s">
        <v>281</v>
      </c>
    </row>
    <row r="33" spans="1:22" ht="34.5" customHeight="1">
      <c r="A33" s="357" t="s">
        <v>16</v>
      </c>
      <c r="B33" s="326">
        <v>2120</v>
      </c>
      <c r="C33" s="345" t="str">
        <f>'Log frame'!E21</f>
        <v>Rehabilitate and expand professionally operated piped water systems.</v>
      </c>
      <c r="D33" s="340" t="s">
        <v>101</v>
      </c>
      <c r="E33" s="326" t="s">
        <v>287</v>
      </c>
      <c r="F33" s="340" t="s">
        <v>103</v>
      </c>
      <c r="G33" s="352" t="s">
        <v>100</v>
      </c>
      <c r="H33" s="348" t="s">
        <v>209</v>
      </c>
      <c r="I33" s="348" t="str">
        <f t="shared" si="0"/>
        <v>Mattson</v>
      </c>
      <c r="J33" s="353" t="s">
        <v>288</v>
      </c>
      <c r="K33" s="333" t="s">
        <v>274</v>
      </c>
      <c r="L33" s="330" t="s">
        <v>279</v>
      </c>
      <c r="M33" s="330" t="s">
        <v>213</v>
      </c>
      <c r="N33" s="330" t="s">
        <v>218</v>
      </c>
      <c r="O33" s="333" t="s">
        <v>215</v>
      </c>
      <c r="P33" s="294"/>
      <c r="Q33" s="294"/>
      <c r="R33" s="331" t="s">
        <v>280</v>
      </c>
      <c r="S33" s="341" t="s">
        <v>217</v>
      </c>
      <c r="T33" s="341" t="s">
        <v>218</v>
      </c>
      <c r="U33" s="362" t="s">
        <v>247</v>
      </c>
      <c r="V33" s="198" t="s">
        <v>281</v>
      </c>
    </row>
    <row r="34" spans="1:22" ht="34.5" customHeight="1">
      <c r="A34" s="399" t="s">
        <v>40</v>
      </c>
      <c r="B34" s="401">
        <v>2200</v>
      </c>
      <c r="C34" s="408" t="str">
        <f>'Log frame'!F17</f>
        <v>Increased household access to sustainable, affordable, and safe sanitation services.​</v>
      </c>
      <c r="D34" s="402" t="s">
        <v>104</v>
      </c>
      <c r="E34" s="401" t="s">
        <v>289</v>
      </c>
      <c r="F34" s="411" t="s">
        <v>106</v>
      </c>
      <c r="G34" s="401" t="s">
        <v>107</v>
      </c>
      <c r="H34" s="348" t="s">
        <v>209</v>
      </c>
      <c r="I34" s="348" t="str">
        <f t="shared" si="0"/>
        <v>Mattson</v>
      </c>
      <c r="J34" s="401" t="s">
        <v>228</v>
      </c>
      <c r="K34" s="403" t="s">
        <v>290</v>
      </c>
      <c r="L34" s="405" t="s">
        <v>233</v>
      </c>
      <c r="M34" s="330" t="s">
        <v>258</v>
      </c>
      <c r="N34" s="405" t="s">
        <v>218</v>
      </c>
      <c r="O34" s="333" t="s">
        <v>215</v>
      </c>
      <c r="P34" s="294"/>
      <c r="Q34" s="294"/>
      <c r="R34" s="331" t="s">
        <v>280</v>
      </c>
      <c r="S34" s="404" t="s">
        <v>291</v>
      </c>
      <c r="T34" s="404" t="s">
        <v>218</v>
      </c>
      <c r="U34" s="362" t="s">
        <v>247</v>
      </c>
      <c r="V34" s="198" t="s">
        <v>281</v>
      </c>
    </row>
    <row r="35" spans="1:22" ht="34.5" customHeight="1">
      <c r="A35" s="399" t="s">
        <v>40</v>
      </c>
      <c r="B35" s="401">
        <v>2200</v>
      </c>
      <c r="C35" s="408" t="str">
        <f>C34</f>
        <v>Increased household access to sustainable, affordable, and safe sanitation services.​</v>
      </c>
      <c r="D35" s="402" t="s">
        <v>108</v>
      </c>
      <c r="E35" s="401" t="s">
        <v>292</v>
      </c>
      <c r="F35" s="402" t="s">
        <v>109</v>
      </c>
      <c r="G35" s="405" t="s">
        <v>107</v>
      </c>
      <c r="H35" s="348" t="s">
        <v>209</v>
      </c>
      <c r="I35" s="348" t="str">
        <f t="shared" si="0"/>
        <v>Mattson</v>
      </c>
      <c r="J35" s="402" t="s">
        <v>293</v>
      </c>
      <c r="K35" s="403" t="s">
        <v>290</v>
      </c>
      <c r="L35" s="405" t="s">
        <v>294</v>
      </c>
      <c r="M35" s="330" t="s">
        <v>258</v>
      </c>
      <c r="N35" s="405" t="s">
        <v>236</v>
      </c>
      <c r="O35" s="333" t="s">
        <v>215</v>
      </c>
      <c r="P35" s="294"/>
      <c r="Q35" s="294"/>
      <c r="R35" s="331" t="s">
        <v>280</v>
      </c>
      <c r="S35" s="404" t="s">
        <v>246</v>
      </c>
      <c r="T35" s="404" t="s">
        <v>236</v>
      </c>
      <c r="U35" s="362" t="s">
        <v>247</v>
      </c>
      <c r="V35" s="198" t="s">
        <v>281</v>
      </c>
    </row>
    <row r="36" spans="1:22" ht="34.5" customHeight="1">
      <c r="A36" s="399" t="s">
        <v>40</v>
      </c>
      <c r="B36" s="401">
        <v>2200</v>
      </c>
      <c r="C36" s="408" t="str">
        <f>'Log frame'!F17</f>
        <v>Increased household access to sustainable, affordable, and safe sanitation services.​</v>
      </c>
      <c r="D36" s="402" t="s">
        <v>110</v>
      </c>
      <c r="E36" s="401" t="s">
        <v>295</v>
      </c>
      <c r="F36" s="402" t="s">
        <v>111</v>
      </c>
      <c r="G36" s="405" t="s">
        <v>112</v>
      </c>
      <c r="H36" s="326" t="s">
        <v>296</v>
      </c>
      <c r="I36" s="326" t="str">
        <f t="shared" si="0"/>
        <v>Mattson</v>
      </c>
      <c r="J36" s="401" t="s">
        <v>297</v>
      </c>
      <c r="K36" s="410" t="s">
        <v>278</v>
      </c>
      <c r="L36" s="405" t="s">
        <v>279</v>
      </c>
      <c r="M36" s="330" t="s">
        <v>258</v>
      </c>
      <c r="N36" s="405" t="s">
        <v>298</v>
      </c>
      <c r="O36" s="333" t="s">
        <v>215</v>
      </c>
      <c r="P36" s="294"/>
      <c r="Q36" s="294"/>
      <c r="R36" s="331" t="s">
        <v>280</v>
      </c>
      <c r="S36" s="412" t="s">
        <v>299</v>
      </c>
      <c r="T36" s="404" t="s">
        <v>236</v>
      </c>
      <c r="U36" s="362" t="s">
        <v>247</v>
      </c>
      <c r="V36" s="198" t="s">
        <v>281</v>
      </c>
    </row>
    <row r="37" spans="1:22" ht="34.5" customHeight="1">
      <c r="A37" s="357" t="s">
        <v>16</v>
      </c>
      <c r="B37" s="339">
        <v>2210</v>
      </c>
      <c r="C37" s="345" t="str">
        <f>'Log frame'!F19</f>
        <v>Mobilize communities to achieve Open Defecation Free status</v>
      </c>
      <c r="D37" s="340" t="s">
        <v>113</v>
      </c>
      <c r="E37" s="342" t="s">
        <v>300</v>
      </c>
      <c r="F37" s="340" t="s">
        <v>115</v>
      </c>
      <c r="G37" s="352" t="s">
        <v>100</v>
      </c>
      <c r="H37" s="326" t="s">
        <v>296</v>
      </c>
      <c r="I37" s="326" t="str">
        <f t="shared" si="0"/>
        <v>Mattson</v>
      </c>
      <c r="J37" s="326" t="s">
        <v>297</v>
      </c>
      <c r="K37" s="331" t="s">
        <v>278</v>
      </c>
      <c r="L37" s="326" t="s">
        <v>279</v>
      </c>
      <c r="M37" s="326" t="s">
        <v>258</v>
      </c>
      <c r="N37" s="330" t="s">
        <v>214</v>
      </c>
      <c r="O37" s="333" t="s">
        <v>215</v>
      </c>
      <c r="P37" s="294"/>
      <c r="Q37" s="294"/>
      <c r="R37" s="331" t="s">
        <v>280</v>
      </c>
      <c r="S37" s="341" t="s">
        <v>217</v>
      </c>
      <c r="T37" s="341" t="s">
        <v>218</v>
      </c>
      <c r="U37" s="362" t="s">
        <v>247</v>
      </c>
      <c r="V37" s="198" t="s">
        <v>281</v>
      </c>
    </row>
    <row r="38" spans="1:22" ht="34.5" customHeight="1">
      <c r="A38" s="357" t="s">
        <v>16</v>
      </c>
      <c r="B38" s="339">
        <v>2230</v>
      </c>
      <c r="C38" s="345" t="str">
        <f>'Log frame'!F23</f>
        <v>Construct public latrines.</v>
      </c>
      <c r="D38" s="340" t="s">
        <v>116</v>
      </c>
      <c r="E38" s="326" t="s">
        <v>301</v>
      </c>
      <c r="F38" s="326" t="s">
        <v>118</v>
      </c>
      <c r="G38" s="352" t="s">
        <v>119</v>
      </c>
      <c r="H38" s="348" t="s">
        <v>209</v>
      </c>
      <c r="I38" s="348" t="s">
        <v>302</v>
      </c>
      <c r="J38" s="340" t="s">
        <v>293</v>
      </c>
      <c r="K38" s="331" t="s">
        <v>303</v>
      </c>
      <c r="L38" s="330" t="s">
        <v>279</v>
      </c>
      <c r="M38" s="330" t="s">
        <v>213</v>
      </c>
      <c r="N38" s="330" t="s">
        <v>218</v>
      </c>
      <c r="O38" s="333" t="s">
        <v>215</v>
      </c>
      <c r="P38" s="294"/>
      <c r="Q38" s="294"/>
      <c r="R38" s="331" t="s">
        <v>280</v>
      </c>
      <c r="S38" s="341" t="s">
        <v>246</v>
      </c>
      <c r="T38" s="341" t="s">
        <v>218</v>
      </c>
      <c r="U38" s="362" t="s">
        <v>247</v>
      </c>
      <c r="V38" s="198" t="s">
        <v>304</v>
      </c>
    </row>
    <row r="39" spans="1:22" ht="34.5" customHeight="1">
      <c r="A39" s="399" t="s">
        <v>40</v>
      </c>
      <c r="B39" s="401">
        <v>2300</v>
      </c>
      <c r="C39" s="402" t="str">
        <f>'Log frame'!G17</f>
        <v>Increased household access to hygiene services.</v>
      </c>
      <c r="D39" s="402" t="s">
        <v>120</v>
      </c>
      <c r="E39" s="401" t="s">
        <v>305</v>
      </c>
      <c r="F39" s="402" t="s">
        <v>122</v>
      </c>
      <c r="G39" s="409" t="s">
        <v>123</v>
      </c>
      <c r="H39" s="326" t="s">
        <v>227</v>
      </c>
      <c r="I39" s="326" t="str">
        <f t="shared" si="0"/>
        <v>Mattson</v>
      </c>
      <c r="J39" s="413" t="s">
        <v>306</v>
      </c>
      <c r="K39" s="410" t="s">
        <v>278</v>
      </c>
      <c r="L39" s="405" t="s">
        <v>279</v>
      </c>
      <c r="M39" s="330" t="s">
        <v>258</v>
      </c>
      <c r="N39" s="405" t="s">
        <v>298</v>
      </c>
      <c r="O39" s="333" t="s">
        <v>215</v>
      </c>
      <c r="P39" s="294"/>
      <c r="Q39" s="294"/>
      <c r="R39" s="331" t="s">
        <v>280</v>
      </c>
      <c r="S39" s="412" t="s">
        <v>299</v>
      </c>
      <c r="T39" s="404" t="s">
        <v>218</v>
      </c>
      <c r="U39" s="362" t="s">
        <v>247</v>
      </c>
      <c r="V39" s="198" t="s">
        <v>307</v>
      </c>
    </row>
    <row r="40" spans="1:22" ht="34.5" customHeight="1">
      <c r="A40" s="357" t="s">
        <v>16</v>
      </c>
      <c r="B40" s="339">
        <v>2310</v>
      </c>
      <c r="C40" s="326" t="str">
        <f>'Log frame'!G19</f>
        <v>Train skilled community animators to deliver hygiene trainings and community mobilization.​</v>
      </c>
      <c r="D40" s="340" t="s">
        <v>124</v>
      </c>
      <c r="E40" s="326" t="s">
        <v>308</v>
      </c>
      <c r="F40" s="326" t="s">
        <v>126</v>
      </c>
      <c r="G40" s="352" t="s">
        <v>127</v>
      </c>
      <c r="H40" s="326" t="s">
        <v>227</v>
      </c>
      <c r="I40" s="326" t="str">
        <f t="shared" si="0"/>
        <v>Mattson</v>
      </c>
      <c r="J40" s="326" t="s">
        <v>228</v>
      </c>
      <c r="K40" s="333" t="s">
        <v>309</v>
      </c>
      <c r="L40" s="330" t="s">
        <v>279</v>
      </c>
      <c r="M40" s="330" t="s">
        <v>258</v>
      </c>
      <c r="N40" s="330" t="s">
        <v>268</v>
      </c>
      <c r="O40" s="333" t="s">
        <v>215</v>
      </c>
      <c r="P40" s="294"/>
      <c r="Q40" s="294"/>
      <c r="R40" s="330" t="s">
        <v>223</v>
      </c>
      <c r="S40" s="341" t="s">
        <v>291</v>
      </c>
      <c r="T40" s="341" t="s">
        <v>218</v>
      </c>
      <c r="U40" s="359" t="s">
        <v>215</v>
      </c>
      <c r="V40" s="198" t="s">
        <v>240</v>
      </c>
    </row>
    <row r="41" spans="1:22" ht="34.5" customHeight="1">
      <c r="A41" s="357" t="s">
        <v>16</v>
      </c>
      <c r="B41" s="339">
        <v>2310</v>
      </c>
      <c r="C41" s="326" t="s">
        <v>125</v>
      </c>
      <c r="D41" s="326" t="s">
        <v>128</v>
      </c>
      <c r="E41" s="326" t="s">
        <v>310</v>
      </c>
      <c r="F41" s="326" t="s">
        <v>129</v>
      </c>
      <c r="G41" s="352" t="s">
        <v>130</v>
      </c>
      <c r="H41" s="326" t="s">
        <v>221</v>
      </c>
      <c r="I41" s="326" t="s">
        <v>222</v>
      </c>
      <c r="J41" s="326" t="s">
        <v>311</v>
      </c>
      <c r="K41" s="333" t="s">
        <v>312</v>
      </c>
      <c r="L41" s="330" t="s">
        <v>279</v>
      </c>
      <c r="M41" s="330" t="s">
        <v>213</v>
      </c>
      <c r="N41" s="330" t="s">
        <v>214</v>
      </c>
      <c r="O41" s="333" t="s">
        <v>215</v>
      </c>
      <c r="P41" s="330" t="s">
        <v>223</v>
      </c>
      <c r="Q41" s="341" t="s">
        <v>259</v>
      </c>
      <c r="R41" s="330" t="s">
        <v>223</v>
      </c>
      <c r="S41" s="341" t="s">
        <v>217</v>
      </c>
      <c r="T41" s="341" t="s">
        <v>218</v>
      </c>
      <c r="U41" s="359" t="s">
        <v>215</v>
      </c>
      <c r="V41"/>
    </row>
    <row r="42" spans="1:22" ht="34.5" customHeight="1">
      <c r="A42" s="357" t="s">
        <v>16</v>
      </c>
      <c r="B42" s="339">
        <v>2320</v>
      </c>
      <c r="C42" s="345" t="str">
        <f>'Log frame'!G21</f>
        <v>Certify the sustained usage of hygiene services.</v>
      </c>
      <c r="D42" s="326" t="s">
        <v>131</v>
      </c>
      <c r="E42" s="326" t="s">
        <v>313</v>
      </c>
      <c r="F42" s="340" t="s">
        <v>132</v>
      </c>
      <c r="G42" s="352" t="s">
        <v>100</v>
      </c>
      <c r="H42" s="326" t="s">
        <v>227</v>
      </c>
      <c r="I42" s="326" t="str">
        <f t="shared" si="0"/>
        <v>Mattson</v>
      </c>
      <c r="J42" s="326" t="s">
        <v>228</v>
      </c>
      <c r="K42" s="333" t="s">
        <v>290</v>
      </c>
      <c r="L42" s="330" t="s">
        <v>279</v>
      </c>
      <c r="M42" s="330" t="s">
        <v>258</v>
      </c>
      <c r="N42" s="330" t="s">
        <v>214</v>
      </c>
      <c r="O42" s="333" t="s">
        <v>215</v>
      </c>
      <c r="P42" s="294"/>
      <c r="Q42" s="294"/>
      <c r="R42" s="330" t="s">
        <v>223</v>
      </c>
      <c r="S42" s="341" t="s">
        <v>246</v>
      </c>
      <c r="T42" s="341" t="s">
        <v>218</v>
      </c>
      <c r="U42" s="359" t="s">
        <v>215</v>
      </c>
      <c r="V42" s="198" t="s">
        <v>240</v>
      </c>
    </row>
    <row r="43" spans="1:22" ht="47.1" customHeight="1">
      <c r="A43" s="399" t="s">
        <v>40</v>
      </c>
      <c r="B43" s="401">
        <v>2400</v>
      </c>
      <c r="C43" s="402" t="str">
        <f>'Log frame'!H17</f>
        <v>Increased access to sustainable, safe drinking water, sanitation, and hygiene materials in healthcare facilities, schools, and public places.</v>
      </c>
      <c r="D43" s="402" t="s">
        <v>133</v>
      </c>
      <c r="E43" s="414" t="s">
        <v>314</v>
      </c>
      <c r="F43" s="414" t="s">
        <v>135</v>
      </c>
      <c r="G43" s="405" t="s">
        <v>136</v>
      </c>
      <c r="H43" s="348" t="s">
        <v>209</v>
      </c>
      <c r="I43" s="348" t="s">
        <v>302</v>
      </c>
      <c r="J43" s="401" t="s">
        <v>315</v>
      </c>
      <c r="K43" s="403" t="s">
        <v>316</v>
      </c>
      <c r="L43" s="405" t="s">
        <v>279</v>
      </c>
      <c r="M43" s="330" t="s">
        <v>258</v>
      </c>
      <c r="N43" s="405" t="s">
        <v>236</v>
      </c>
      <c r="O43" s="333" t="s">
        <v>215</v>
      </c>
      <c r="P43" s="294"/>
      <c r="Q43" s="294"/>
      <c r="R43" s="331" t="s">
        <v>317</v>
      </c>
      <c r="S43" s="412" t="s">
        <v>246</v>
      </c>
      <c r="T43" s="404" t="s">
        <v>236</v>
      </c>
      <c r="U43" s="362" t="s">
        <v>247</v>
      </c>
      <c r="V43" s="198" t="s">
        <v>248</v>
      </c>
    </row>
    <row r="44" spans="1:22" ht="56.1" customHeight="1">
      <c r="A44" s="399" t="s">
        <v>40</v>
      </c>
      <c r="B44" s="401">
        <v>2400</v>
      </c>
      <c r="C44" s="402" t="str">
        <f>'Log frame'!H17</f>
        <v>Increased access to sustainable, safe drinking water, sanitation, and hygiene materials in healthcare facilities, schools, and public places.</v>
      </c>
      <c r="D44" s="402" t="s">
        <v>137</v>
      </c>
      <c r="E44" s="415" t="s">
        <v>318</v>
      </c>
      <c r="F44" s="414" t="s">
        <v>138</v>
      </c>
      <c r="G44" s="405" t="s">
        <v>139</v>
      </c>
      <c r="H44" s="348" t="s">
        <v>209</v>
      </c>
      <c r="I44" s="348" t="s">
        <v>302</v>
      </c>
      <c r="J44" s="401" t="s">
        <v>315</v>
      </c>
      <c r="K44" s="403" t="s">
        <v>319</v>
      </c>
      <c r="L44" s="405" t="s">
        <v>279</v>
      </c>
      <c r="M44" s="330" t="s">
        <v>258</v>
      </c>
      <c r="N44" s="405" t="s">
        <v>236</v>
      </c>
      <c r="O44" s="333" t="s">
        <v>215</v>
      </c>
      <c r="P44" s="294"/>
      <c r="Q44" s="294"/>
      <c r="R44" s="331" t="s">
        <v>320</v>
      </c>
      <c r="S44" s="412" t="s">
        <v>246</v>
      </c>
      <c r="T44" s="404" t="s">
        <v>236</v>
      </c>
      <c r="U44" s="362" t="s">
        <v>247</v>
      </c>
      <c r="V44" s="198" t="s">
        <v>248</v>
      </c>
    </row>
    <row r="45" spans="1:22" ht="34.5" customHeight="1">
      <c r="A45" s="357" t="s">
        <v>16</v>
      </c>
      <c r="B45" s="339">
        <v>2410</v>
      </c>
      <c r="C45" s="326" t="str">
        <f>'Log frame'!H19</f>
        <v>Construct or rehabilitate water supply for healthcare facilities and schools.</v>
      </c>
      <c r="D45" s="339" t="s">
        <v>140</v>
      </c>
      <c r="E45" s="354" t="s">
        <v>321</v>
      </c>
      <c r="F45" s="354" t="s">
        <v>142</v>
      </c>
      <c r="G45" s="330" t="s">
        <v>143</v>
      </c>
      <c r="H45" s="348" t="s">
        <v>209</v>
      </c>
      <c r="I45" s="348" t="s">
        <v>302</v>
      </c>
      <c r="J45" s="326" t="s">
        <v>322</v>
      </c>
      <c r="K45" s="333" t="s">
        <v>316</v>
      </c>
      <c r="L45" s="330" t="s">
        <v>279</v>
      </c>
      <c r="M45" s="330" t="s">
        <v>258</v>
      </c>
      <c r="N45" s="330" t="s">
        <v>218</v>
      </c>
      <c r="O45" s="333" t="s">
        <v>215</v>
      </c>
      <c r="P45" s="294"/>
      <c r="Q45" s="294"/>
      <c r="R45" s="331" t="s">
        <v>317</v>
      </c>
      <c r="S45" s="341" t="s">
        <v>246</v>
      </c>
      <c r="T45" s="341" t="s">
        <v>236</v>
      </c>
      <c r="U45" s="362" t="s">
        <v>247</v>
      </c>
      <c r="V45" s="198" t="s">
        <v>248</v>
      </c>
    </row>
    <row r="46" spans="1:22" ht="34.5" customHeight="1">
      <c r="A46" s="357" t="s">
        <v>16</v>
      </c>
      <c r="B46" s="339">
        <v>2410</v>
      </c>
      <c r="C46" s="326" t="str">
        <f>'Log frame'!H19</f>
        <v>Construct or rehabilitate water supply for healthcare facilities and schools.</v>
      </c>
      <c r="D46" s="339" t="s">
        <v>144</v>
      </c>
      <c r="E46" s="346" t="s">
        <v>323</v>
      </c>
      <c r="F46" s="354" t="s">
        <v>145</v>
      </c>
      <c r="G46" s="330" t="s">
        <v>146</v>
      </c>
      <c r="H46" s="348" t="s">
        <v>209</v>
      </c>
      <c r="I46" s="348" t="s">
        <v>302</v>
      </c>
      <c r="J46" s="326" t="s">
        <v>322</v>
      </c>
      <c r="K46" s="333" t="s">
        <v>319</v>
      </c>
      <c r="L46" s="330" t="s">
        <v>279</v>
      </c>
      <c r="M46" s="330" t="s">
        <v>258</v>
      </c>
      <c r="N46" s="330" t="s">
        <v>218</v>
      </c>
      <c r="O46" s="333" t="s">
        <v>215</v>
      </c>
      <c r="P46" s="294"/>
      <c r="Q46" s="294"/>
      <c r="R46" s="331" t="s">
        <v>320</v>
      </c>
      <c r="S46" s="341" t="s">
        <v>246</v>
      </c>
      <c r="T46" s="341" t="s">
        <v>236</v>
      </c>
      <c r="U46" s="362" t="s">
        <v>247</v>
      </c>
      <c r="V46" s="198" t="s">
        <v>248</v>
      </c>
    </row>
    <row r="47" spans="1:22" ht="34.5" customHeight="1">
      <c r="A47" s="357" t="s">
        <v>16</v>
      </c>
      <c r="B47" s="339">
        <v>2420</v>
      </c>
      <c r="C47" s="345" t="str">
        <f>'Log frame'!H21</f>
        <v>Construct communal, healthcare facility, and school latrines.</v>
      </c>
      <c r="D47" s="326" t="s">
        <v>147</v>
      </c>
      <c r="E47" s="346" t="s">
        <v>324</v>
      </c>
      <c r="F47" s="354" t="s">
        <v>149</v>
      </c>
      <c r="G47" s="330" t="s">
        <v>143</v>
      </c>
      <c r="H47" s="348" t="s">
        <v>209</v>
      </c>
      <c r="I47" s="348" t="s">
        <v>302</v>
      </c>
      <c r="J47" s="326" t="s">
        <v>325</v>
      </c>
      <c r="K47" s="333" t="s">
        <v>316</v>
      </c>
      <c r="L47" s="330" t="s">
        <v>279</v>
      </c>
      <c r="M47" s="330" t="s">
        <v>258</v>
      </c>
      <c r="N47" s="330" t="s">
        <v>218</v>
      </c>
      <c r="O47" s="333" t="s">
        <v>215</v>
      </c>
      <c r="P47" s="294"/>
      <c r="Q47" s="294"/>
      <c r="R47" s="331" t="s">
        <v>317</v>
      </c>
      <c r="S47" s="341" t="s">
        <v>246</v>
      </c>
      <c r="T47" s="341" t="s">
        <v>236</v>
      </c>
      <c r="U47" s="362" t="s">
        <v>247</v>
      </c>
      <c r="V47" s="198" t="s">
        <v>248</v>
      </c>
    </row>
    <row r="48" spans="1:22" ht="34.5" customHeight="1">
      <c r="A48" s="357" t="s">
        <v>16</v>
      </c>
      <c r="B48" s="339">
        <v>2420</v>
      </c>
      <c r="C48" s="345" t="str">
        <f>'Log frame'!H21</f>
        <v>Construct communal, healthcare facility, and school latrines.</v>
      </c>
      <c r="D48" s="326" t="s">
        <v>150</v>
      </c>
      <c r="E48" s="346" t="s">
        <v>326</v>
      </c>
      <c r="F48" s="354" t="s">
        <v>151</v>
      </c>
      <c r="G48" s="330" t="s">
        <v>146</v>
      </c>
      <c r="H48" s="348" t="s">
        <v>209</v>
      </c>
      <c r="I48" s="348" t="s">
        <v>302</v>
      </c>
      <c r="J48" s="326" t="s">
        <v>325</v>
      </c>
      <c r="K48" s="333" t="s">
        <v>319</v>
      </c>
      <c r="L48" s="330" t="s">
        <v>279</v>
      </c>
      <c r="M48" s="330" t="s">
        <v>258</v>
      </c>
      <c r="N48" s="330" t="s">
        <v>218</v>
      </c>
      <c r="O48" s="333" t="s">
        <v>215</v>
      </c>
      <c r="P48" s="294"/>
      <c r="Q48" s="294"/>
      <c r="R48" s="331" t="s">
        <v>320</v>
      </c>
      <c r="S48" s="341" t="s">
        <v>246</v>
      </c>
      <c r="T48" s="341" t="s">
        <v>236</v>
      </c>
      <c r="U48" s="362" t="s">
        <v>247</v>
      </c>
      <c r="V48" s="198" t="s">
        <v>248</v>
      </c>
    </row>
    <row r="49" spans="1:32" ht="34.5" customHeight="1">
      <c r="A49" s="357" t="s">
        <v>16</v>
      </c>
      <c r="B49" s="339">
        <v>2430</v>
      </c>
      <c r="C49" s="326" t="str">
        <f>'Log frame'!H23</f>
        <v>Work with (local authorities, civil society) to ensure access to soap or alcohol-based handrub at schools and healthcare facilities.</v>
      </c>
      <c r="D49" s="326" t="s">
        <v>152</v>
      </c>
      <c r="E49" s="326" t="s">
        <v>327</v>
      </c>
      <c r="F49" s="354" t="s">
        <v>154</v>
      </c>
      <c r="G49" s="330" t="s">
        <v>143</v>
      </c>
      <c r="H49" s="348" t="s">
        <v>209</v>
      </c>
      <c r="I49" s="348" t="s">
        <v>302</v>
      </c>
      <c r="J49" s="326" t="s">
        <v>328</v>
      </c>
      <c r="K49" s="333" t="s">
        <v>316</v>
      </c>
      <c r="L49" s="330" t="s">
        <v>279</v>
      </c>
      <c r="M49" s="330" t="s">
        <v>258</v>
      </c>
      <c r="N49" s="330" t="s">
        <v>218</v>
      </c>
      <c r="O49" s="333" t="s">
        <v>215</v>
      </c>
      <c r="P49" s="294"/>
      <c r="Q49" s="294"/>
      <c r="R49" s="331" t="s">
        <v>317</v>
      </c>
      <c r="S49" s="341" t="s">
        <v>246</v>
      </c>
      <c r="T49" s="341" t="s">
        <v>236</v>
      </c>
      <c r="U49" s="362" t="s">
        <v>247</v>
      </c>
      <c r="V49" s="336" t="s">
        <v>248</v>
      </c>
    </row>
    <row r="50" spans="1:32" ht="34.5" customHeight="1">
      <c r="A50" s="357" t="s">
        <v>16</v>
      </c>
      <c r="B50" s="339">
        <v>2430</v>
      </c>
      <c r="C50" s="326" t="str">
        <f>'Log frame'!H23</f>
        <v>Work with (local authorities, civil society) to ensure access to soap or alcohol-based handrub at schools and healthcare facilities.</v>
      </c>
      <c r="D50" s="326" t="s">
        <v>155</v>
      </c>
      <c r="E50" s="326" t="s">
        <v>329</v>
      </c>
      <c r="F50" s="354" t="s">
        <v>156</v>
      </c>
      <c r="G50" s="330" t="s">
        <v>146</v>
      </c>
      <c r="H50" s="348" t="s">
        <v>209</v>
      </c>
      <c r="I50" s="348" t="s">
        <v>302</v>
      </c>
      <c r="J50" s="326" t="s">
        <v>330</v>
      </c>
      <c r="K50" s="333" t="s">
        <v>319</v>
      </c>
      <c r="L50" s="330" t="s">
        <v>279</v>
      </c>
      <c r="M50" s="330" t="s">
        <v>258</v>
      </c>
      <c r="N50" s="330" t="s">
        <v>218</v>
      </c>
      <c r="O50" s="333" t="s">
        <v>215</v>
      </c>
      <c r="P50" s="294"/>
      <c r="Q50" s="294"/>
      <c r="R50" s="331" t="s">
        <v>320</v>
      </c>
      <c r="S50" s="341" t="s">
        <v>246</v>
      </c>
      <c r="T50" s="341" t="s">
        <v>236</v>
      </c>
      <c r="U50" s="362" t="s">
        <v>247</v>
      </c>
      <c r="V50" s="198" t="s">
        <v>248</v>
      </c>
    </row>
    <row r="51" spans="1:32" ht="34.5" customHeight="1">
      <c r="A51" s="393" t="s">
        <v>37</v>
      </c>
      <c r="B51" s="395">
        <v>3000</v>
      </c>
      <c r="C51" s="395" t="str">
        <f>'Log frame'!I15</f>
        <v>Expanded reach and resources leveraged through collective action with other national and international actors.​</v>
      </c>
      <c r="D51" s="395" t="s">
        <v>36</v>
      </c>
      <c r="E51" s="395" t="s">
        <v>36</v>
      </c>
      <c r="F51" s="395" t="s">
        <v>36</v>
      </c>
      <c r="G51" s="398" t="s">
        <v>36</v>
      </c>
      <c r="H51" s="326" t="s">
        <v>36</v>
      </c>
      <c r="I51" s="326" t="str">
        <f t="shared" si="0"/>
        <v>Mattson</v>
      </c>
      <c r="J51" s="398" t="s">
        <v>36</v>
      </c>
      <c r="K51" s="398" t="s">
        <v>36</v>
      </c>
      <c r="L51" s="398" t="s">
        <v>36</v>
      </c>
      <c r="M51" s="330"/>
      <c r="N51" s="398" t="s">
        <v>36</v>
      </c>
      <c r="O51" s="330" t="s">
        <v>36</v>
      </c>
      <c r="P51" s="330" t="s">
        <v>36</v>
      </c>
      <c r="Q51" s="330" t="s">
        <v>36</v>
      </c>
      <c r="R51" s="330" t="s">
        <v>36</v>
      </c>
      <c r="S51" s="398" t="s">
        <v>36</v>
      </c>
      <c r="T51" s="398" t="s">
        <v>36</v>
      </c>
      <c r="U51" s="361" t="s">
        <v>36</v>
      </c>
      <c r="V51" s="136" t="s">
        <v>207</v>
      </c>
    </row>
    <row r="52" spans="1:32" ht="34.5" customHeight="1">
      <c r="A52" s="399" t="s">
        <v>40</v>
      </c>
      <c r="B52" s="401">
        <v>3100</v>
      </c>
      <c r="C52" s="401" t="str">
        <f>'Log frame'!I17</f>
        <v>Increased government and non-government funding in alignment with HANWASH Core Values.</v>
      </c>
      <c r="D52" s="401" t="s">
        <v>157</v>
      </c>
      <c r="E52" s="401" t="s">
        <v>331</v>
      </c>
      <c r="F52" s="407" t="s">
        <v>158</v>
      </c>
      <c r="G52" s="405" t="s">
        <v>159</v>
      </c>
      <c r="H52" s="330" t="s">
        <v>332</v>
      </c>
      <c r="I52" s="330" t="str">
        <f t="shared" si="0"/>
        <v>Mattson</v>
      </c>
      <c r="J52" s="405" t="s">
        <v>333</v>
      </c>
      <c r="K52" s="403" t="s">
        <v>334</v>
      </c>
      <c r="L52" s="405" t="s">
        <v>335</v>
      </c>
      <c r="M52" s="330" t="s">
        <v>213</v>
      </c>
      <c r="N52" s="405" t="s">
        <v>236</v>
      </c>
      <c r="O52" s="350" t="s">
        <v>231</v>
      </c>
      <c r="P52" s="330"/>
      <c r="Q52" s="330"/>
      <c r="R52" s="330" t="s">
        <v>223</v>
      </c>
      <c r="S52" s="405" t="s">
        <v>336</v>
      </c>
      <c r="T52" s="405" t="s">
        <v>236</v>
      </c>
      <c r="U52" s="361" t="s">
        <v>231</v>
      </c>
      <c r="V52" s="328" t="s">
        <v>337</v>
      </c>
    </row>
    <row r="53" spans="1:32" ht="38.25" customHeight="1">
      <c r="A53" s="399" t="s">
        <v>40</v>
      </c>
      <c r="B53" s="401">
        <v>3100</v>
      </c>
      <c r="C53" s="401" t="str">
        <f>'Log frame'!I17</f>
        <v>Increased government and non-government funding in alignment with HANWASH Core Values.</v>
      </c>
      <c r="D53" s="409" t="s">
        <v>160</v>
      </c>
      <c r="E53" s="401" t="s">
        <v>338</v>
      </c>
      <c r="F53" s="407" t="s">
        <v>161</v>
      </c>
      <c r="G53" s="405" t="s">
        <v>162</v>
      </c>
      <c r="H53" s="330" t="s">
        <v>209</v>
      </c>
      <c r="I53" s="330" t="s">
        <v>222</v>
      </c>
      <c r="J53" s="405" t="s">
        <v>339</v>
      </c>
      <c r="K53" s="403" t="s">
        <v>334</v>
      </c>
      <c r="L53" s="405" t="s">
        <v>335</v>
      </c>
      <c r="M53" s="330" t="s">
        <v>213</v>
      </c>
      <c r="N53" s="405" t="s">
        <v>236</v>
      </c>
      <c r="O53" s="350" t="s">
        <v>231</v>
      </c>
      <c r="P53" s="330"/>
      <c r="Q53" s="330"/>
      <c r="R53" s="330" t="s">
        <v>223</v>
      </c>
      <c r="S53" s="405" t="s">
        <v>336</v>
      </c>
      <c r="T53" s="405" t="s">
        <v>236</v>
      </c>
      <c r="U53" s="361" t="s">
        <v>247</v>
      </c>
      <c r="V53" s="328" t="s">
        <v>240</v>
      </c>
      <c r="W53" s="8"/>
      <c r="X53" s="8"/>
      <c r="Y53" s="8"/>
      <c r="Z53" s="8"/>
      <c r="AA53" s="8"/>
      <c r="AB53" s="8"/>
      <c r="AC53" s="8"/>
      <c r="AD53" s="8"/>
      <c r="AE53" s="8"/>
      <c r="AF53" s="8"/>
    </row>
    <row r="54" spans="1:32" ht="34.5" customHeight="1">
      <c r="A54" s="357" t="s">
        <v>16</v>
      </c>
      <c r="B54" s="339">
        <v>3110</v>
      </c>
      <c r="C54" s="345" t="str">
        <f>'Log frame'!I19</f>
        <v>Mobilize and coordinate funding from government and non-government sources in HANWASH program areas in alignment with HANWASH Core Values.</v>
      </c>
      <c r="D54" s="326" t="s">
        <v>163</v>
      </c>
      <c r="E54" s="326" t="s">
        <v>340</v>
      </c>
      <c r="F54" s="340" t="s">
        <v>164</v>
      </c>
      <c r="G54" s="352" t="s">
        <v>159</v>
      </c>
      <c r="H54" s="326" t="s">
        <v>332</v>
      </c>
      <c r="I54" s="326" t="str">
        <f t="shared" si="0"/>
        <v>Mattson</v>
      </c>
      <c r="J54" s="326" t="s">
        <v>341</v>
      </c>
      <c r="K54" s="333" t="s">
        <v>334</v>
      </c>
      <c r="L54" s="330" t="s">
        <v>335</v>
      </c>
      <c r="M54" s="330" t="s">
        <v>213</v>
      </c>
      <c r="N54" s="330" t="s">
        <v>236</v>
      </c>
      <c r="O54" s="333" t="s">
        <v>231</v>
      </c>
      <c r="P54" s="294"/>
      <c r="Q54" s="294"/>
      <c r="R54" s="341" t="s">
        <v>223</v>
      </c>
      <c r="S54" s="341" t="s">
        <v>336</v>
      </c>
      <c r="T54" s="341" t="s">
        <v>236</v>
      </c>
      <c r="U54" s="359" t="s">
        <v>231</v>
      </c>
      <c r="V54" s="198" t="s">
        <v>337</v>
      </c>
    </row>
    <row r="55" spans="1:32" ht="34.5" customHeight="1">
      <c r="A55" s="357" t="s">
        <v>16</v>
      </c>
      <c r="B55" s="339">
        <v>3120</v>
      </c>
      <c r="C55" s="345" t="str">
        <f>'Log frame'!I21</f>
        <v>Mobilize and influence funding from government and non-government sources beyond HANWASH program areas in alignment with HANWASH Core Values.</v>
      </c>
      <c r="D55" s="326" t="s">
        <v>165</v>
      </c>
      <c r="E55" s="326" t="s">
        <v>342</v>
      </c>
      <c r="F55" s="340" t="s">
        <v>166</v>
      </c>
      <c r="G55" s="352" t="s">
        <v>159</v>
      </c>
      <c r="H55" s="326" t="s">
        <v>332</v>
      </c>
      <c r="I55" s="326" t="s">
        <v>302</v>
      </c>
      <c r="J55" s="326" t="s">
        <v>341</v>
      </c>
      <c r="K55" s="333" t="s">
        <v>334</v>
      </c>
      <c r="L55" s="330" t="s">
        <v>335</v>
      </c>
      <c r="M55" s="330" t="s">
        <v>213</v>
      </c>
      <c r="N55" s="330" t="s">
        <v>236</v>
      </c>
      <c r="O55" s="333" t="s">
        <v>231</v>
      </c>
      <c r="P55" s="294"/>
      <c r="Q55" s="294"/>
      <c r="R55" s="341" t="s">
        <v>223</v>
      </c>
      <c r="S55" s="341" t="s">
        <v>336</v>
      </c>
      <c r="T55" s="341" t="s">
        <v>236</v>
      </c>
      <c r="U55" s="359" t="s">
        <v>231</v>
      </c>
      <c r="V55" s="198" t="s">
        <v>337</v>
      </c>
    </row>
    <row r="56" spans="1:32" ht="34.5" customHeight="1">
      <c r="A56" s="399" t="s">
        <v>40</v>
      </c>
      <c r="B56" s="416">
        <v>3200</v>
      </c>
      <c r="C56" s="417" t="str">
        <f>'Log frame'!J17</f>
        <v>Increased capacity of DINEPA to regulate the sector and OREPA to oversee and support implementation.</v>
      </c>
      <c r="D56" s="405" t="s">
        <v>167</v>
      </c>
      <c r="E56" s="401" t="s">
        <v>343</v>
      </c>
      <c r="F56" s="401" t="s">
        <v>168</v>
      </c>
      <c r="G56" s="400" t="s">
        <v>169</v>
      </c>
      <c r="H56" s="339" t="s">
        <v>227</v>
      </c>
      <c r="I56" s="339" t="str">
        <f t="shared" si="0"/>
        <v>Mattson</v>
      </c>
      <c r="J56" s="401" t="s">
        <v>344</v>
      </c>
      <c r="K56" s="403" t="s">
        <v>345</v>
      </c>
      <c r="L56" s="401" t="s">
        <v>336</v>
      </c>
      <c r="M56" s="326" t="s">
        <v>213</v>
      </c>
      <c r="N56" s="401" t="s">
        <v>236</v>
      </c>
      <c r="O56" s="326" t="s">
        <v>36</v>
      </c>
      <c r="P56" s="326" t="s">
        <v>36</v>
      </c>
      <c r="Q56" s="326" t="s">
        <v>36</v>
      </c>
      <c r="R56" s="326" t="s">
        <v>36</v>
      </c>
      <c r="S56" s="401" t="s">
        <v>270</v>
      </c>
      <c r="T56" s="401" t="s">
        <v>236</v>
      </c>
      <c r="U56" s="358" t="s">
        <v>36</v>
      </c>
      <c r="V56" s="136" t="s">
        <v>346</v>
      </c>
    </row>
    <row r="57" spans="1:32" ht="34.5" customHeight="1" thickBot="1">
      <c r="A57" s="363" t="s">
        <v>16</v>
      </c>
      <c r="B57" s="364">
        <v>3220</v>
      </c>
      <c r="C57" s="365" t="str">
        <f>'Log frame'!J21</f>
        <v>Provide technical assistance and training to DINEPA and the OREPAs.</v>
      </c>
      <c r="D57" s="366" t="s">
        <v>170</v>
      </c>
      <c r="E57" s="366" t="s">
        <v>347</v>
      </c>
      <c r="F57" s="367" t="s">
        <v>171</v>
      </c>
      <c r="G57" s="368" t="s">
        <v>172</v>
      </c>
      <c r="H57" s="368" t="s">
        <v>209</v>
      </c>
      <c r="I57" s="368" t="str">
        <f t="shared" si="0"/>
        <v>Mattson</v>
      </c>
      <c r="J57" s="366" t="s">
        <v>228</v>
      </c>
      <c r="K57" s="369" t="s">
        <v>211</v>
      </c>
      <c r="L57" s="366" t="s">
        <v>279</v>
      </c>
      <c r="M57" s="366" t="s">
        <v>213</v>
      </c>
      <c r="N57" s="370" t="s">
        <v>268</v>
      </c>
      <c r="O57" s="369" t="s">
        <v>215</v>
      </c>
      <c r="P57" s="371"/>
      <c r="Q57" s="371"/>
      <c r="R57" s="370" t="s">
        <v>223</v>
      </c>
      <c r="S57" s="370" t="s">
        <v>217</v>
      </c>
      <c r="T57" s="370" t="s">
        <v>218</v>
      </c>
      <c r="U57" s="372" t="s">
        <v>215</v>
      </c>
      <c r="V57" s="198" t="s">
        <v>240</v>
      </c>
    </row>
  </sheetData>
  <autoFilter ref="A11:N57" xr:uid="{BE8B9DD6-C48E-49B4-B8BB-6D4871740D80}"/>
  <mergeCells count="19">
    <mergeCell ref="A5:C5"/>
    <mergeCell ref="F5:T5"/>
    <mergeCell ref="A1:C1"/>
    <mergeCell ref="A2:C2"/>
    <mergeCell ref="A3:C3"/>
    <mergeCell ref="A4:C4"/>
    <mergeCell ref="F4:T4"/>
    <mergeCell ref="V10:V11"/>
    <mergeCell ref="A6:C6"/>
    <mergeCell ref="F6:T6"/>
    <mergeCell ref="A7:C7"/>
    <mergeCell ref="F7:T7"/>
    <mergeCell ref="A8:C8"/>
    <mergeCell ref="F8:T8"/>
    <mergeCell ref="A10:C10"/>
    <mergeCell ref="D10:J10"/>
    <mergeCell ref="K10:O10"/>
    <mergeCell ref="P10:Q10"/>
    <mergeCell ref="R10:U10"/>
  </mergeCells>
  <hyperlinks>
    <hyperlink ref="K33" r:id="rId1" location="/forms/d97abfe8b83843dcb03c5b1d72e01f93/preview" xr:uid="{5AA20068-6A53-4C63-850A-F82143788021}"/>
    <hyperlink ref="R21" r:id="rId2" location="/forms/530fe4e5a09f42d0a96cef1b855a5241/preview" display="HANWASH household audit" xr:uid="{4C5D3194-FCCB-4DF0-A34D-5E5D1FF1A06C}"/>
    <hyperlink ref="K40" r:id="rId3" location="/forms/76ba0885e88a4c20b8686aa9204acd30" display="Implementation event tracking form" xr:uid="{F03B166D-6DDF-4D0D-A053-1A869FAF4AE6}"/>
    <hyperlink ref="K14" r:id="rId4" location="/forms/76ba0885e88a4c20b8686aa9204acd30" xr:uid="{8E89CC59-DEF7-4A03-810C-3B44C89B073E}"/>
    <hyperlink ref="K16" r:id="rId5" location="/forms/76ba0885e88a4c20b8686aa9204acd30" xr:uid="{8C4576D6-02B5-4A52-A2CA-5FED26C058B6}"/>
    <hyperlink ref="K19" r:id="rId6" location="/forms/76ba0885e88a4c20b8686aa9204acd30" xr:uid="{E6603CDD-4F0E-4618-827C-3D07B4A74006}"/>
    <hyperlink ref="K21" r:id="rId7" location="/forms/fad15f51bbf44bb0bf9c36f08887c2dd" display="Water point survey (type &amp; functionality) + rapid community assessment (HH count)" xr:uid="{C7DCBE43-803E-4E2D-B777-1F7FFCC3BF53}"/>
    <hyperlink ref="K23" r:id="rId8" location="/forms/d97abfe8b83843dcb03c5b1d72e01f93/preview" display="SAEP monthly report" xr:uid="{D4783943-92D4-45FB-8D4E-2EF904DBCD27}"/>
    <hyperlink ref="K27" r:id="rId9" location="/forms/d97abfe8b83843dcb03c5b1d72e01f93/preview" xr:uid="{199F4162-1000-490B-97F7-9206D077589A}"/>
    <hyperlink ref="K43" r:id="rId10" location="/forms/802cd40b8ada491eae959778d70597bf" xr:uid="{C12A2717-A1AC-4C32-B7BC-7856C9566FD4}"/>
    <hyperlink ref="K45" r:id="rId11" location="/forms/802cd40b8ada491eae959778d70597bf" xr:uid="{3578C9F1-5610-47D1-B6D1-6230FE088AA0}"/>
    <hyperlink ref="K47" r:id="rId12" location="/forms/802cd40b8ada491eae959778d70597bf" xr:uid="{E2EBAFFB-1E3B-4B9C-8299-2ECE2C81A655}"/>
    <hyperlink ref="K49" r:id="rId13" location="/forms/802cd40b8ada491eae959778d70597bf" xr:uid="{3CB6269D-EB87-4556-A275-C7B8E3162C95}"/>
    <hyperlink ref="K44" r:id="rId14" location="/forms/b823db9a3c794e3bbfb204540990c2c8" xr:uid="{E08FC194-7F1E-456F-A936-2201457E9651}"/>
    <hyperlink ref="K46" r:id="rId15" location="/forms/b823db9a3c794e3bbfb204540990c2c8" xr:uid="{CFFC9746-C84F-4B2D-BDC5-F501AAC0B03B}"/>
    <hyperlink ref="K48" r:id="rId16" location="/forms/b823db9a3c794e3bbfb204540990c2c8" xr:uid="{952E3563-0C48-435F-B011-0E07434168C3}"/>
    <hyperlink ref="K50" r:id="rId17" location="/forms/b823db9a3c794e3bbfb204540990c2c8" xr:uid="{9815F347-D698-4C21-90D9-714B83F55AAB}"/>
    <hyperlink ref="K32" r:id="rId18" location="/forms/fad15f51bbf44bb0bf9c36f08887c2dd" display="Water point survey (type &amp; functionality) + rapid community assessment (HH count)" xr:uid="{16AFCDC5-8CF9-4082-9F1D-1A2C916B1A1A}"/>
    <hyperlink ref="K57" r:id="rId19" location="/forms/76ba0885e88a4c20b8686aa9204acd30" xr:uid="{1137B4DD-9501-42F5-A7B9-A61593903E92}"/>
    <hyperlink ref="P17" r:id="rId20" location="/consoles/818a590d510e40728bc1e969aa98c0db?tab=e4139e54-32f5-49d7-872a-9c40004944f3" xr:uid="{1523330E-267C-4E0A-A8E7-65760A68F869}"/>
    <hyperlink ref="P21" r:id="rId21" location="/forms/fad15f51bbf44bb0bf9c36f08887c2dd" display="Water point survey (type &amp; functionality) + rapid community assessment (HH count)" xr:uid="{5C274B77-EFDB-48EC-A74B-75F850918B04}"/>
    <hyperlink ref="O21" r:id="rId22" location="/consoles/1d080c5b8c154825b446b267319a8288?tab=b96fe26a-1712-43b1-a86b-26e9f7b833b4" xr:uid="{BAB496DC-A2B0-46F6-9701-EB9B84C0D4B6}"/>
    <hyperlink ref="O17" r:id="rId23" location="/consoles/818a590d510e40728bc1e969aa98c0db?tab=e4139e54-32f5-49d7-872a-9c40004944f3" xr:uid="{598CA037-F0D6-4D03-A52E-394C99A4F9C2}"/>
    <hyperlink ref="O29" r:id="rId24" location="/consoles/1d080c5b8c154825b446b267319a8288?tab=b96fe26a-1712-43b1-a86b-26e9f7b833b4" xr:uid="{78AA0A50-8C37-4701-86CD-B02212561EF7}"/>
    <hyperlink ref="O30" r:id="rId25" location="/consoles/1d080c5b8c154825b446b267319a8288?tab=b96fe26a-1712-43b1-a86b-26e9f7b833b4" xr:uid="{58CE3F21-B81A-467E-8503-55B503515332}"/>
    <hyperlink ref="O36" r:id="rId26" location="/consoles/1d080c5b8c154825b446b267319a8288?tab=b96fe26a-1712-43b1-a86b-26e9f7b833b4" xr:uid="{E9E001DE-260A-4968-8834-EB8B41717FA0}"/>
    <hyperlink ref="O43" r:id="rId27" location="/consoles/1d080c5b8c154825b446b267319a8288?tab=b96fe26a-1712-43b1-a86b-26e9f7b833b4" xr:uid="{3BAD9B53-302B-4F65-BB0B-F9C66F9F57AF}"/>
    <hyperlink ref="O44" r:id="rId28" location="/consoles/1d080c5b8c154825b446b267319a8288?tab=b96fe26a-1712-43b1-a86b-26e9f7b833b4" xr:uid="{011998C3-A9B1-4480-8564-E49154E20656}"/>
    <hyperlink ref="O14" r:id="rId29" location="/consoles/1d080c5b8c154825b446b267319a8288?tab=b96fe26a-1712-43b1-a86b-26e9f7b833b4" xr:uid="{3EFD97C4-D8CF-40C1-AA8C-D0078707DC0B}"/>
    <hyperlink ref="O16" r:id="rId30" location="/consoles/1d080c5b8c154825b446b267319a8288?tab=b96fe26a-1712-43b1-a86b-26e9f7b833b4" xr:uid="{EB910ACA-D2FA-44F1-9D9D-82328A7EBCF9}"/>
    <hyperlink ref="O18" r:id="rId31" location="/consoles/818a590d510e40728bc1e969aa98c0db?tab=e4139e54-32f5-49d7-872a-9c40004944f3" xr:uid="{1642098A-B938-426E-8FE8-71294CBC7F4E}"/>
    <hyperlink ref="O19" r:id="rId32" location="/consoles/1d080c5b8c154825b446b267319a8288?tab=b96fe26a-1712-43b1-a86b-26e9f7b833b4" xr:uid="{E67B3A7F-BE03-4E95-9267-35B75D703AD0}"/>
    <hyperlink ref="O23" r:id="rId33" location="/consoles/1d080c5b8c154825b446b267319a8288?tab=b96fe26a-1712-43b1-a86b-26e9f7b833b4" xr:uid="{3F6D40A5-E935-4371-AF07-290550CB4C29}"/>
    <hyperlink ref="O27" r:id="rId34" location="/consoles/1d080c5b8c154825b446b267319a8288?tab=b96fe26a-1712-43b1-a86b-26e9f7b833b4" xr:uid="{0A67E9EA-3DE2-4145-BA3B-C1FE9B3F8654}"/>
    <hyperlink ref="O32" r:id="rId35" location="/consoles/1d080c5b8c154825b446b267319a8288?tab=b96fe26a-1712-43b1-a86b-26e9f7b833b4" xr:uid="{C02F9CCD-F502-4D19-A98D-7C5F2214F235}"/>
    <hyperlink ref="O33" r:id="rId36" location="/consoles/1d080c5b8c154825b446b267319a8288?tab=b96fe26a-1712-43b1-a86b-26e9f7b833b4" xr:uid="{E71C4040-4775-448A-8536-BA086D986147}"/>
    <hyperlink ref="O37" r:id="rId37" location="/consoles/1d080c5b8c154825b446b267319a8288?tab=b96fe26a-1712-43b1-a86b-26e9f7b833b4" xr:uid="{3D8EE34E-FDAD-476C-816F-6B0A60721986}"/>
    <hyperlink ref="O40" r:id="rId38" location="/consoles/1d080c5b8c154825b446b267319a8288?tab=b96fe26a-1712-43b1-a86b-26e9f7b833b4" xr:uid="{657D132D-20B2-4EDA-8DA6-E14D96E5A676}"/>
    <hyperlink ref="O42" r:id="rId39" location="/consoles/1d080c5b8c154825b446b267319a8288?tab=b96fe26a-1712-43b1-a86b-26e9f7b833b4" xr:uid="{8E9E7D63-587F-4499-B0DA-B1F1C9BACC01}"/>
    <hyperlink ref="O45" r:id="rId40" location="/consoles/1d080c5b8c154825b446b267319a8288?tab=b96fe26a-1712-43b1-a86b-26e9f7b833b4" xr:uid="{23DD6DA7-7718-439D-BCE4-AC995EA2E66E}"/>
    <hyperlink ref="O46" r:id="rId41" location="/consoles/1d080c5b8c154825b446b267319a8288?tab=b96fe26a-1712-43b1-a86b-26e9f7b833b4" xr:uid="{A965573B-C6D8-434B-911B-488C43F96A2E}"/>
    <hyperlink ref="O47" r:id="rId42" location="/consoles/1d080c5b8c154825b446b267319a8288?tab=b96fe26a-1712-43b1-a86b-26e9f7b833b4" xr:uid="{55823E8C-BC16-4D96-BB08-FBBB7E260FAB}"/>
    <hyperlink ref="O48" r:id="rId43" location="/consoles/1d080c5b8c154825b446b267319a8288?tab=b96fe26a-1712-43b1-a86b-26e9f7b833b4" xr:uid="{64CB2C37-2BDF-43B3-9352-DCDFCF816C00}"/>
    <hyperlink ref="O49" r:id="rId44" location="/consoles/1d080c5b8c154825b446b267319a8288?tab=b96fe26a-1712-43b1-a86b-26e9f7b833b4" xr:uid="{A3701B5A-563E-4F29-9AFB-921CDD167CE0}"/>
    <hyperlink ref="O50" r:id="rId45" location="/consoles/1d080c5b8c154825b446b267319a8288?tab=b96fe26a-1712-43b1-a86b-26e9f7b833b4" xr:uid="{532564F4-85F2-4328-B99C-6AED630D3847}"/>
    <hyperlink ref="O54" r:id="rId46" location="/consoles/818a590d510e40728bc1e969aa98c0db?tab=e4139e54-32f5-49d7-872a-9c40004944f3" xr:uid="{DE79C558-BEC0-45FB-AD57-4DEEC1025025}"/>
    <hyperlink ref="O55" r:id="rId47" location="/consoles/818a590d510e40728bc1e969aa98c0db?tab=e4139e54-32f5-49d7-872a-9c40004944f3" xr:uid="{859D3D99-8BF9-46B9-8271-57A9AF502181}"/>
    <hyperlink ref="O57" r:id="rId48" location="/consoles/1d080c5b8c154825b446b267319a8288?tab=b96fe26a-1712-43b1-a86b-26e9f7b833b4" xr:uid="{A080B58E-949B-4BC5-B8BA-80CE416C3ADE}"/>
    <hyperlink ref="U17" r:id="rId49" location="/consoles/818a590d510e40728bc1e969aa98c0db?tab=e4139e54-32f5-49d7-872a-9c40004944f3" xr:uid="{CA6339DC-81FB-4967-81BA-55E77DEDEDAC}"/>
    <hyperlink ref="U14" r:id="rId50" location="/consoles/1d080c5b8c154825b446b267319a8288?tab=b96fe26a-1712-43b1-a86b-26e9f7b833b4" xr:uid="{FD65B36E-B859-4276-AFA0-97CE3BE32C91}"/>
    <hyperlink ref="U16" r:id="rId51" location="/consoles/1d080c5b8c154825b446b267319a8288?tab=b96fe26a-1712-43b1-a86b-26e9f7b833b4" xr:uid="{8D3359D3-D25F-496F-9843-98ED82EAB589}"/>
    <hyperlink ref="U18" r:id="rId52" location="/consoles/818a590d510e40728bc1e969aa98c0db?tab=e4139e54-32f5-49d7-872a-9c40004944f3" xr:uid="{7D615A65-5712-40E2-B9AD-E995158E81C5}"/>
    <hyperlink ref="R29" r:id="rId53" location="/forms/530fe4e5a09f42d0a96cef1b855a5241/preview" xr:uid="{ED3D0055-C90C-44CD-8B89-D7048A48AF30}"/>
    <hyperlink ref="R30" r:id="rId54" location="/forms/530fe4e5a09f42d0a96cef1b855a5241/preview" xr:uid="{730DEAB8-A9C1-4ADF-8B5D-E8591D811845}"/>
    <hyperlink ref="R36" r:id="rId55" location="/forms/530fe4e5a09f42d0a96cef1b855a5241/preview" xr:uid="{1B6C4F20-F890-49EC-8814-9BA7767724D9}"/>
    <hyperlink ref="R43" r:id="rId56" location="/forms/802cd40b8ada491eae959778d70597bf" xr:uid="{6EB8ACE9-DC33-440D-B91E-200B47A93655}"/>
    <hyperlink ref="R44" r:id="rId57" location="/forms/b823db9a3c794e3bbfb204540990c2c8" xr:uid="{5AF6D4EB-73A5-4B57-94CC-B9CAA6DFE7A7}"/>
    <hyperlink ref="U23" r:id="rId58" location="/consoles/1d080c5b8c154825b446b267319a8288?tab=b96fe26a-1712-43b1-a86b-26e9f7b833b4" xr:uid="{FF94EDBC-C114-4D31-B4A0-3DA16828C11E}"/>
    <hyperlink ref="U27" r:id="rId59" location="/consoles/1d080c5b8c154825b446b267319a8288?tab=b96fe26a-1712-43b1-a86b-26e9f7b833b4" xr:uid="{CCF01D1B-BDB4-4B84-AC23-F220EAEDC2B6}"/>
    <hyperlink ref="R32" r:id="rId60" location="/forms/530fe4e5a09f42d0a96cef1b855a5241/preview" xr:uid="{86C7EA49-0E64-4770-BBBC-B3BE08D9728E}"/>
    <hyperlink ref="R33" r:id="rId61" location="/forms/530fe4e5a09f42d0a96cef1b855a5241/preview" xr:uid="{397104D5-2C95-4148-9C55-63553AD0962C}"/>
    <hyperlink ref="R37" r:id="rId62" location="/forms/530fe4e5a09f42d0a96cef1b855a5241/preview" xr:uid="{FF66F762-7588-46FB-B6F7-DD531F305AB8}"/>
    <hyperlink ref="U40" r:id="rId63" location="/consoles/1d080c5b8c154825b446b267319a8288?tab=b96fe26a-1712-43b1-a86b-26e9f7b833b4" xr:uid="{B35DE905-2A79-45C9-89E8-D869FDFAFEA3}"/>
    <hyperlink ref="U42" r:id="rId64" location="/consoles/1d080c5b8c154825b446b267319a8288?tab=b96fe26a-1712-43b1-a86b-26e9f7b833b4" xr:uid="{23B56B90-1635-4B0A-9ABF-B38DD53C3EC2}"/>
    <hyperlink ref="R45" r:id="rId65" location="/forms/802cd40b8ada491eae959778d70597bf" xr:uid="{954A52B2-E811-4A64-8FEC-9E49E06D04A8}"/>
    <hyperlink ref="R47" r:id="rId66" location="/forms/802cd40b8ada491eae959778d70597bf" xr:uid="{6B032D41-0304-40F4-A587-6653A07246FD}"/>
    <hyperlink ref="R49" r:id="rId67" location="/forms/802cd40b8ada491eae959778d70597bf" xr:uid="{B6AD0DCF-1BDC-47EA-8A11-8437E291A673}"/>
    <hyperlink ref="R46" r:id="rId68" location="/forms/b823db9a3c794e3bbfb204540990c2c8" xr:uid="{525AD390-B1C5-4013-9D7C-607F2B2E4EDD}"/>
    <hyperlink ref="R48" r:id="rId69" location="/forms/b823db9a3c794e3bbfb204540990c2c8" xr:uid="{86648B5B-04AE-47EC-A548-6D8049E41B05}"/>
    <hyperlink ref="R50" r:id="rId70" location="/forms/b823db9a3c794e3bbfb204540990c2c8" xr:uid="{0C43B941-A269-4B9A-BF76-83FADABF3B78}"/>
    <hyperlink ref="U52" r:id="rId71" location="/consoles/818a590d510e40728bc1e969aa98c0db?tab=e4139e54-32f5-49d7-872a-9c40004944f3" xr:uid="{C5D659DB-D9CF-4700-B1C5-5FCC684E452E}"/>
    <hyperlink ref="U54" r:id="rId72" location="/consoles/818a590d510e40728bc1e969aa98c0db?tab=e4139e54-32f5-49d7-872a-9c40004944f3" xr:uid="{9D609F46-E2C7-44E0-899D-CA6AF09CEC0B}"/>
    <hyperlink ref="U55" r:id="rId73" location="/consoles/818a590d510e40728bc1e969aa98c0db?tab=e4139e54-32f5-49d7-872a-9c40004944f3" xr:uid="{1E97CD28-8523-4B99-8106-FD897391FE94}"/>
    <hyperlink ref="U57" r:id="rId74" location="/consoles/1d080c5b8c154825b446b267319a8288?tab=b96fe26a-1712-43b1-a86b-26e9f7b833b4" xr:uid="{F3961BA1-5B16-4BC0-B50E-345FBD4635F6}"/>
    <hyperlink ref="U19" r:id="rId75" location="/consoles/1d080c5b8c154825b446b267319a8288?tab=b96fe26a-1712-43b1-a86b-26e9f7b833b4" xr:uid="{692D159A-A320-42E5-80F9-0F411ABC53C6}"/>
    <hyperlink ref="A5" r:id="rId76" xr:uid="{9EAA6CBD-9B1D-44E7-AC8F-43D5EB93B044}"/>
    <hyperlink ref="O38" r:id="rId77" location="/consoles/1d080c5b8c154825b446b267319a8288?tab=b96fe26a-1712-43b1-a86b-26e9f7b833b4" xr:uid="{2E023656-9CF2-4F8D-ABC7-199C1E6EAC9E}"/>
    <hyperlink ref="R38" r:id="rId78" location="/forms/530fe4e5a09f42d0a96cef1b855a5241/preview" xr:uid="{107E946B-0F6A-4F69-BAE1-EFEAFC5157D4}"/>
    <hyperlink ref="K35" r:id="rId79" location="/forms/e045ce2509964909bed52a842b28dffd" display="ODF verification and certification" xr:uid="{D5492319-3195-496E-A17E-104E227B19AC}"/>
    <hyperlink ref="O35" r:id="rId80" location="/consoles/1d080c5b8c154825b446b267319a8288?tab=b96fe26a-1712-43b1-a86b-26e9f7b833b4" xr:uid="{F7E9B162-1258-42F5-81C8-60EB1BDD620A}"/>
    <hyperlink ref="R35" r:id="rId81" location="/forms/530fe4e5a09f42d0a96cef1b855a5241/preview" xr:uid="{D1061181-51C7-4448-8230-DF8CEC48F5A2}"/>
    <hyperlink ref="O34" r:id="rId82" location="/consoles/1d080c5b8c154825b446b267319a8288?tab=b96fe26a-1712-43b1-a86b-26e9f7b833b4" xr:uid="{0754EDC8-87D8-4AB9-8D5D-360D7A06900A}"/>
    <hyperlink ref="R34" r:id="rId83" location="/forms/530fe4e5a09f42d0a96cef1b855a5241/preview" xr:uid="{DE07939F-4D7A-40FA-A519-6D265B34B0C6}"/>
    <hyperlink ref="O39" r:id="rId84" location="/consoles/1d080c5b8c154825b446b267319a8288?tab=b96fe26a-1712-43b1-a86b-26e9f7b833b4" xr:uid="{B10E8527-4D2B-4145-B018-9765D7A2DF01}"/>
    <hyperlink ref="R39" r:id="rId85" location="/forms/530fe4e5a09f42d0a96cef1b855a5241/preview" xr:uid="{D1AE00E1-4E31-4B04-8E71-F93B6D028CE1}"/>
    <hyperlink ref="K34" r:id="rId86" location="/forms/2bd65fbd2daf4064ac60694210797595" display="Rapid community assessment" xr:uid="{FFC7A49B-B0F5-48DF-8CF4-380207C0924E}"/>
    <hyperlink ref="K39" r:id="rId87" location="/forms/530fe4e5a09f42d0a96cef1b855a5241/preview" xr:uid="{8E23E080-13E0-448D-B027-13AB7DDF45BF}"/>
    <hyperlink ref="K36" r:id="rId88" location="/forms/530fe4e5a09f42d0a96cef1b855a5241/preview" xr:uid="{A7B9E076-2733-4219-87A0-C97DF90A71D5}"/>
    <hyperlink ref="K30" r:id="rId89" location="/forms/530fe4e5a09f42d0a96cef1b855a5241/preview" xr:uid="{34DB4F0D-D82A-49B8-8612-04ED249DB9FF}"/>
    <hyperlink ref="K29" r:id="rId90" location="/forms/530fe4e5a09f42d0a96cef1b855a5241/preview" xr:uid="{096A54F7-010B-4170-BCB7-8F90C3F2087E}"/>
    <hyperlink ref="K37" r:id="rId91" location="/forms/530fe4e5a09f42d0a96cef1b855a5241/preview" xr:uid="{1906D750-1F2D-47D0-B31B-88C9A7F9D0C6}"/>
    <hyperlink ref="K42" r:id="rId92" location="/forms/e045ce2509964909bed52a842b28dffd" display="ODF verification and certification" xr:uid="{60A4B971-686D-471C-AFC6-DC433D66A75F}"/>
    <hyperlink ref="O20" r:id="rId93" location="/consoles/1d080c5b8c154825b446b267319a8288?tab=b96fe26a-1712-43b1-a86b-26e9f7b833b4" xr:uid="{071C50C8-A1D2-4463-9158-06F02D7F9797}"/>
    <hyperlink ref="R20" r:id="rId94" location="/forms/530fe4e5a09f42d0a96cef1b855a5241/preview" display="HANWASH household audit" xr:uid="{011DE140-AA0C-49DE-8836-F96ACE227B20}"/>
    <hyperlink ref="K31" r:id="rId95" location="/forms/fad15f51bbf44bb0bf9c36f08887c2dd" display="Water point survey (type &amp; functionality) + rapid community assessment (HH count)" xr:uid="{091E2B7A-2400-4A23-9CC0-CA12BD772ABF}"/>
    <hyperlink ref="O31" r:id="rId96" location="/consoles/1d080c5b8c154825b446b267319a8288?tab=b96fe26a-1712-43b1-a86b-26e9f7b833b4" xr:uid="{1A9DCF7F-A433-4841-8B56-1702F86AC02D}"/>
    <hyperlink ref="R31" r:id="rId97" location="/forms/530fe4e5a09f42d0a96cef1b855a5241/preview" display="HANWASH household audit" xr:uid="{317A2887-57BD-4B2E-A5F1-0F7B74562940}"/>
    <hyperlink ref="K56" r:id="rId98" location="/tables/ts109/t6" xr:uid="{C0B0D36A-3906-4C75-A55C-4A9D35C2F2CA}"/>
    <hyperlink ref="O53" r:id="rId99" location="/consoles/818a590d510e40728bc1e969aa98c0db?tab=e4139e54-32f5-49d7-872a-9c40004944f3" xr:uid="{67E1AF59-2411-4B08-83B3-A7F8D4184374}"/>
    <hyperlink ref="O52" r:id="rId100" location="/consoles/818a590d510e40728bc1e969aa98c0db?tab=e4139e54-32f5-49d7-872a-9c40004944f3" xr:uid="{63AD26DF-5A51-434A-BCB0-022ADB7B0E37}"/>
    <hyperlink ref="K22" r:id="rId101" location="/forms/fad15f51bbf44bb0bf9c36f08887c2dd" display="Water point survey (type &amp; functionality) + rapid community assessment (HH count)" xr:uid="{8B558378-A269-4EC7-B7B3-18E947E844A1}"/>
    <hyperlink ref="O22" r:id="rId102" location="/consoles/1d080c5b8c154825b446b267319a8288?tab=b96fe26a-1712-43b1-a86b-26e9f7b833b4" xr:uid="{6E683290-A3B6-42F2-9625-BFCABD661946}"/>
    <hyperlink ref="P22" r:id="rId103" location="/forms/530fe4e5a09f42d0a96cef1b855a5241/preview" display="HANWASH household audit" xr:uid="{9D800B5D-E3D1-4B50-AF11-5DD0D99EF8F8}"/>
    <hyperlink ref="K15" r:id="rId104" location="/forms/76ba0885e88a4c20b8686aa9204acd30" xr:uid="{A324EAE9-758F-4654-9B05-EA1402F23184}"/>
    <hyperlink ref="O15" r:id="rId105" location="/consoles/1d080c5b8c154825b446b267319a8288?tab=b96fe26a-1712-43b1-a86b-26e9f7b833b4" xr:uid="{BA7A83B7-A741-4EA0-A84D-7C614A71E763}"/>
    <hyperlink ref="K41" r:id="rId106" location="/forms/76ba0885e88a4c20b8686aa9204acd30" display="Implementation event tracking form" xr:uid="{984AE4BD-4F82-43B0-8035-17415E1755EA}"/>
    <hyperlink ref="O41" r:id="rId107" location="/consoles/1d080c5b8c154825b446b267319a8288?tab=b96fe26a-1712-43b1-a86b-26e9f7b833b4" xr:uid="{FC661156-EF4A-4EAE-9F22-BF548150DA52}"/>
    <hyperlink ref="U41" r:id="rId108" location="/consoles/1d080c5b8c154825b446b267319a8288?tab=b96fe26a-1712-43b1-a86b-26e9f7b833b4" xr:uid="{ABA91DFC-F6AF-420D-BD83-BE677E5CE9D4}"/>
    <hyperlink ref="K24" r:id="rId109" location="/forms/d97abfe8b83843dcb03c5b1d72e01f93/preview" display="SAEP monthly report" xr:uid="{4FE8FB48-790C-4983-916B-F904465EC0A4}"/>
    <hyperlink ref="O24" r:id="rId110" location="/consoles/1d080c5b8c154825b446b267319a8288?tab=b96fe26a-1712-43b1-a86b-26e9f7b833b4" xr:uid="{9F1FAB7B-B7E2-4D72-8316-D0C4669CC0BC}"/>
    <hyperlink ref="U24" r:id="rId111" location="/consoles/1d080c5b8c154825b446b267319a8288?tab=b96fe26a-1712-43b1-a86b-26e9f7b833b4" xr:uid="{24D7BDD9-B58E-4663-B76C-B4A3D116E2E4}"/>
  </hyperlinks>
  <pageMargins left="0.7" right="0.7" top="0.75" bottom="0.75" header="0.3" footer="0.3"/>
  <pageSetup fitToWidth="0" orientation="portrait"/>
  <legacyDrawing r:id="rId1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7893C-9320-034F-AFDD-9A361E506A57}">
  <sheetPr>
    <pageSetUpPr fitToPage="1"/>
  </sheetPr>
  <dimension ref="A1:K36"/>
  <sheetViews>
    <sheetView topLeftCell="A2" zoomScale="109" zoomScaleNormal="120" workbookViewId="0">
      <selection activeCell="B13" sqref="B13:J13"/>
    </sheetView>
  </sheetViews>
  <sheetFormatPr defaultColWidth="11" defaultRowHeight="15.6"/>
  <cols>
    <col min="1" max="1" width="16.625" customWidth="1"/>
    <col min="2" max="7" width="25.625" customWidth="1"/>
    <col min="8" max="8" width="29.5" customWidth="1"/>
    <col min="9" max="9" width="33.375" customWidth="1"/>
    <col min="10" max="10" width="28.625" customWidth="1"/>
  </cols>
  <sheetData>
    <row r="1" spans="1:11">
      <c r="A1" s="6" t="s">
        <v>173</v>
      </c>
      <c r="E1" s="115" t="s">
        <v>174</v>
      </c>
    </row>
    <row r="2" spans="1:11">
      <c r="A2" s="69" t="s">
        <v>348</v>
      </c>
      <c r="E2" s="566" t="s">
        <v>349</v>
      </c>
      <c r="F2" s="567"/>
    </row>
    <row r="3" spans="1:11" ht="15.75" customHeight="1">
      <c r="A3" s="69" t="s">
        <v>2</v>
      </c>
      <c r="E3" s="568" t="s">
        <v>350</v>
      </c>
      <c r="F3" s="569"/>
    </row>
    <row r="4" spans="1:11">
      <c r="A4" s="7" t="s">
        <v>351</v>
      </c>
    </row>
    <row r="5" spans="1:11">
      <c r="A5" s="92" t="s">
        <v>4</v>
      </c>
    </row>
    <row r="6" spans="1:11">
      <c r="A6" s="93" t="s">
        <v>352</v>
      </c>
    </row>
    <row r="7" spans="1:11">
      <c r="A7" s="93" t="s">
        <v>353</v>
      </c>
    </row>
    <row r="8" spans="1:11">
      <c r="A8" s="93" t="s">
        <v>354</v>
      </c>
    </row>
    <row r="9" spans="1:11">
      <c r="B9" s="1"/>
    </row>
    <row r="10" spans="1:11" ht="30" customHeight="1">
      <c r="A10" s="477" t="s">
        <v>355</v>
      </c>
      <c r="B10" s="477"/>
      <c r="C10" s="477"/>
      <c r="D10" s="477"/>
      <c r="E10" s="477"/>
      <c r="F10" s="477"/>
      <c r="G10" s="477"/>
      <c r="H10" s="477"/>
      <c r="I10" s="477"/>
      <c r="J10" s="478"/>
      <c r="K10" s="223"/>
    </row>
    <row r="11" spans="1:11" ht="24" thickBot="1">
      <c r="A11" s="224" t="s">
        <v>8</v>
      </c>
      <c r="B11" s="463" t="s">
        <v>9</v>
      </c>
      <c r="C11" s="464"/>
      <c r="D11" s="464"/>
      <c r="E11" s="464"/>
      <c r="F11" s="464"/>
      <c r="G11" s="464"/>
      <c r="H11" s="464"/>
      <c r="I11" s="464"/>
      <c r="J11" s="465"/>
    </row>
    <row r="12" spans="1:11">
      <c r="A12" s="419" t="s">
        <v>10</v>
      </c>
      <c r="B12" s="474">
        <v>1</v>
      </c>
      <c r="C12" s="475"/>
      <c r="D12" s="475"/>
      <c r="E12" s="475"/>
      <c r="F12" s="475"/>
      <c r="G12" s="475"/>
      <c r="H12" s="475"/>
      <c r="I12" s="475"/>
      <c r="J12" s="476"/>
    </row>
    <row r="13" spans="1:11" ht="27" customHeight="1" thickBot="1">
      <c r="A13" s="462"/>
      <c r="B13" s="479" t="s">
        <v>35</v>
      </c>
      <c r="C13" s="480"/>
      <c r="D13" s="480"/>
      <c r="E13" s="480"/>
      <c r="F13" s="480"/>
      <c r="G13" s="480"/>
      <c r="H13" s="480"/>
      <c r="I13" s="480"/>
      <c r="J13" s="481"/>
      <c r="K13" s="2"/>
    </row>
    <row r="14" spans="1:11">
      <c r="A14" s="419" t="s">
        <v>11</v>
      </c>
      <c r="B14" s="469">
        <v>1000</v>
      </c>
      <c r="C14" s="470"/>
      <c r="D14" s="471"/>
      <c r="E14" s="469">
        <v>2000</v>
      </c>
      <c r="F14" s="470"/>
      <c r="G14" s="470"/>
      <c r="H14" s="471"/>
      <c r="I14" s="472">
        <v>3000</v>
      </c>
      <c r="J14" s="473"/>
      <c r="K14" s="2"/>
    </row>
    <row r="15" spans="1:11" ht="38.1" customHeight="1" thickBot="1">
      <c r="A15" s="462"/>
      <c r="B15" s="466" t="s">
        <v>38</v>
      </c>
      <c r="C15" s="467"/>
      <c r="D15" s="468"/>
      <c r="E15" s="466" t="s">
        <v>88</v>
      </c>
      <c r="F15" s="467"/>
      <c r="G15" s="467"/>
      <c r="H15" s="468"/>
      <c r="I15" s="482" t="s">
        <v>12</v>
      </c>
      <c r="J15" s="483"/>
      <c r="K15" s="3"/>
    </row>
    <row r="16" spans="1:11">
      <c r="A16" s="419" t="s">
        <v>13</v>
      </c>
      <c r="B16" s="217">
        <v>1100</v>
      </c>
      <c r="C16" s="215">
        <v>1200</v>
      </c>
      <c r="D16" s="215">
        <v>1300</v>
      </c>
      <c r="E16" s="217">
        <v>2100</v>
      </c>
      <c r="F16" s="215">
        <v>2200</v>
      </c>
      <c r="G16" s="215">
        <v>2300</v>
      </c>
      <c r="H16" s="108">
        <v>2400</v>
      </c>
      <c r="I16" s="215">
        <v>3100</v>
      </c>
      <c r="J16" s="215">
        <v>3200</v>
      </c>
      <c r="K16" s="3"/>
    </row>
    <row r="17" spans="1:11" ht="89.25" customHeight="1" thickBot="1">
      <c r="A17" s="462"/>
      <c r="B17" s="216" t="s">
        <v>41</v>
      </c>
      <c r="C17" s="218" t="s">
        <v>52</v>
      </c>
      <c r="D17" s="218" t="s">
        <v>64</v>
      </c>
      <c r="E17" s="216" t="s">
        <v>90</v>
      </c>
      <c r="F17" s="218" t="s">
        <v>105</v>
      </c>
      <c r="G17" s="218" t="s">
        <v>121</v>
      </c>
      <c r="H17" s="219" t="s">
        <v>134</v>
      </c>
      <c r="I17" s="218" t="s">
        <v>14</v>
      </c>
      <c r="J17" s="218" t="s">
        <v>15</v>
      </c>
      <c r="K17" s="4"/>
    </row>
    <row r="18" spans="1:11" ht="18" customHeight="1">
      <c r="A18" s="459" t="s">
        <v>16</v>
      </c>
      <c r="B18" s="37">
        <v>1110</v>
      </c>
      <c r="C18" s="38">
        <v>1210</v>
      </c>
      <c r="D18" s="38" t="s">
        <v>17</v>
      </c>
      <c r="E18" s="39">
        <v>2110</v>
      </c>
      <c r="F18" s="38">
        <v>2210</v>
      </c>
      <c r="G18" s="39">
        <v>2310</v>
      </c>
      <c r="H18" s="108">
        <v>2410</v>
      </c>
      <c r="I18" s="38">
        <v>3110</v>
      </c>
      <c r="J18" s="83">
        <v>3210</v>
      </c>
      <c r="K18" s="4"/>
    </row>
    <row r="19" spans="1:11" ht="93.75" customHeight="1">
      <c r="A19" s="460"/>
      <c r="B19" s="30" t="s">
        <v>48</v>
      </c>
      <c r="C19" s="26" t="s">
        <v>56</v>
      </c>
      <c r="D19" s="26" t="s">
        <v>74</v>
      </c>
      <c r="E19" s="27" t="s">
        <v>98</v>
      </c>
      <c r="F19" s="116" t="s">
        <v>114</v>
      </c>
      <c r="G19" s="27" t="s">
        <v>125</v>
      </c>
      <c r="H19" s="219" t="s">
        <v>141</v>
      </c>
      <c r="I19" s="26" t="s">
        <v>18</v>
      </c>
      <c r="J19" s="84" t="s">
        <v>19</v>
      </c>
      <c r="K19" s="4"/>
    </row>
    <row r="20" spans="1:11" ht="15.95" customHeight="1">
      <c r="A20" s="460"/>
      <c r="B20" s="31">
        <v>1120</v>
      </c>
      <c r="C20" s="29">
        <v>1220</v>
      </c>
      <c r="D20" s="29">
        <v>1320</v>
      </c>
      <c r="E20" s="29">
        <v>2120</v>
      </c>
      <c r="F20" s="85">
        <v>2220</v>
      </c>
      <c r="G20" s="29">
        <v>2320</v>
      </c>
      <c r="H20" s="107">
        <v>2420</v>
      </c>
      <c r="I20" s="29">
        <v>3120</v>
      </c>
      <c r="J20" s="85">
        <v>3220</v>
      </c>
      <c r="K20" s="4"/>
    </row>
    <row r="21" spans="1:11" ht="87.95" customHeight="1">
      <c r="A21" s="460"/>
      <c r="B21" s="32" t="s">
        <v>356</v>
      </c>
      <c r="C21" s="26" t="s">
        <v>60</v>
      </c>
      <c r="D21" s="26" t="s">
        <v>86</v>
      </c>
      <c r="E21" s="26" t="s">
        <v>102</v>
      </c>
      <c r="F21" s="106" t="s">
        <v>357</v>
      </c>
      <c r="G21" s="26" t="s">
        <v>20</v>
      </c>
      <c r="H21" s="219" t="s">
        <v>148</v>
      </c>
      <c r="I21" s="26" t="s">
        <v>21</v>
      </c>
      <c r="J21" s="110" t="s">
        <v>22</v>
      </c>
      <c r="K21" s="4"/>
    </row>
    <row r="22" spans="1:11" ht="15.95" customHeight="1">
      <c r="A22" s="460"/>
      <c r="B22" s="34"/>
      <c r="C22" s="28"/>
      <c r="D22" s="28"/>
      <c r="E22" s="28"/>
      <c r="F22" s="107">
        <v>2230</v>
      </c>
      <c r="G22" s="35"/>
      <c r="H22" s="109">
        <v>2430</v>
      </c>
      <c r="I22" s="36"/>
      <c r="J22" s="86"/>
    </row>
    <row r="23" spans="1:11" ht="74.25" customHeight="1">
      <c r="A23" s="461"/>
      <c r="B23" s="40"/>
      <c r="C23" s="41"/>
      <c r="D23" s="41"/>
      <c r="E23" s="41"/>
      <c r="F23" s="221" t="s">
        <v>117</v>
      </c>
      <c r="G23" s="42"/>
      <c r="H23" s="220" t="s">
        <v>153</v>
      </c>
      <c r="I23" s="40"/>
      <c r="J23" s="87"/>
      <c r="K23" s="33"/>
    </row>
    <row r="24" spans="1:11">
      <c r="A24" s="5"/>
    </row>
    <row r="25" spans="1:11">
      <c r="A25" s="5"/>
    </row>
    <row r="26" spans="1:11">
      <c r="A26" s="5"/>
    </row>
    <row r="27" spans="1:11">
      <c r="A27" s="5"/>
    </row>
    <row r="28" spans="1:11">
      <c r="A28" s="5"/>
    </row>
    <row r="29" spans="1:11">
      <c r="A29" s="5"/>
    </row>
    <row r="30" spans="1:11">
      <c r="A30" s="5"/>
    </row>
    <row r="31" spans="1:11">
      <c r="A31" s="5"/>
    </row>
    <row r="32" spans="1:11">
      <c r="A32" s="5"/>
    </row>
    <row r="33" spans="1:1">
      <c r="A33" s="5"/>
    </row>
    <row r="34" spans="1:1">
      <c r="A34" s="5"/>
    </row>
    <row r="35" spans="1:1">
      <c r="A35" s="5"/>
    </row>
    <row r="36" spans="1:1">
      <c r="A36" s="5"/>
    </row>
  </sheetData>
  <mergeCells count="16">
    <mergeCell ref="E2:F2"/>
    <mergeCell ref="E3:F3"/>
    <mergeCell ref="A10:J10"/>
    <mergeCell ref="B13:J13"/>
    <mergeCell ref="B15:D15"/>
    <mergeCell ref="I15:J15"/>
    <mergeCell ref="A18:A23"/>
    <mergeCell ref="A14:A15"/>
    <mergeCell ref="B11:J11"/>
    <mergeCell ref="E15:H15"/>
    <mergeCell ref="A16:A17"/>
    <mergeCell ref="B14:D14"/>
    <mergeCell ref="E14:H14"/>
    <mergeCell ref="I14:J14"/>
    <mergeCell ref="B12:J12"/>
    <mergeCell ref="A12:A13"/>
  </mergeCells>
  <hyperlinks>
    <hyperlink ref="A5" r:id="rId1" xr:uid="{7DE18021-7506-5240-9B15-B27FC906B843}"/>
  </hyperlinks>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B9DD6-C48E-49B4-B8BB-6D4871740D80}">
  <sheetPr>
    <pageSetUpPr fitToPage="1"/>
  </sheetPr>
  <dimension ref="A1:XFC73"/>
  <sheetViews>
    <sheetView topLeftCell="A19" zoomScale="80" zoomScaleNormal="80" workbookViewId="0">
      <selection activeCell="E24" sqref="E24"/>
    </sheetView>
  </sheetViews>
  <sheetFormatPr defaultColWidth="11" defaultRowHeight="15.75" customHeight="1"/>
  <cols>
    <col min="1" max="1" width="19.375" style="20" customWidth="1"/>
    <col min="2" max="2" width="7.375" style="7" customWidth="1"/>
    <col min="3" max="3" width="52.125" style="43" customWidth="1"/>
    <col min="4" max="4" width="12.75" style="8" bestFit="1" customWidth="1"/>
    <col min="5" max="5" width="71.125" style="7" customWidth="1"/>
    <col min="6" max="6" width="71.5" style="7" customWidth="1"/>
    <col min="7" max="7" width="17.625" customWidth="1"/>
    <col min="8" max="9" width="11.875" style="7" customWidth="1"/>
    <col min="10" max="10" width="18.625" style="20" customWidth="1"/>
    <col min="11" max="11" width="15" style="20" customWidth="1"/>
    <col min="12" max="12" width="12.625" style="20" customWidth="1"/>
    <col min="13" max="13" width="22.125" style="20" customWidth="1"/>
    <col min="14" max="14" width="18.625" style="20" customWidth="1"/>
    <col min="15" max="15" width="15.5" style="20" customWidth="1"/>
    <col min="16" max="17" width="26.625" hidden="1" customWidth="1"/>
    <col min="18" max="18" width="18.125" style="20" customWidth="1"/>
    <col min="19" max="19" width="21.125" style="20" customWidth="1"/>
    <col min="20" max="20" width="10" style="20" bestFit="1" customWidth="1"/>
    <col min="21" max="21" width="20" style="20" customWidth="1"/>
    <col min="22" max="22" width="87" style="20" customWidth="1"/>
  </cols>
  <sheetData>
    <row r="1" spans="1:22" ht="15.6">
      <c r="A1" s="456" t="s">
        <v>173</v>
      </c>
      <c r="B1" s="456"/>
      <c r="C1" s="456"/>
      <c r="E1" s="74" t="s">
        <v>174</v>
      </c>
      <c r="F1" s="75"/>
      <c r="G1" s="75"/>
      <c r="H1" s="75"/>
      <c r="I1" s="75"/>
      <c r="J1" s="80"/>
      <c r="K1" s="80"/>
      <c r="L1" s="80"/>
      <c r="M1" s="80"/>
      <c r="N1" s="80"/>
      <c r="O1" s="80"/>
      <c r="P1" s="81"/>
      <c r="Q1" s="81"/>
      <c r="R1" s="80"/>
    </row>
    <row r="2" spans="1:22" ht="15.6">
      <c r="A2" s="457" t="s">
        <v>175</v>
      </c>
      <c r="B2" s="457"/>
      <c r="C2" s="457"/>
      <c r="E2" s="94" t="s">
        <v>176</v>
      </c>
      <c r="F2" s="77" t="str">
        <f>"'-' Not applicable"</f>
        <v>'-' Not applicable</v>
      </c>
    </row>
    <row r="3" spans="1:22" ht="15.6">
      <c r="A3" s="456" t="s">
        <v>177</v>
      </c>
      <c r="B3" s="456"/>
      <c r="C3" s="456"/>
      <c r="E3" s="72"/>
      <c r="F3" s="73"/>
      <c r="G3" s="78"/>
      <c r="H3" s="73"/>
      <c r="I3" s="73"/>
      <c r="J3" s="79"/>
      <c r="K3" s="79"/>
      <c r="L3" s="79"/>
      <c r="M3" s="79"/>
      <c r="N3" s="79"/>
      <c r="O3" s="79"/>
      <c r="P3" s="78"/>
      <c r="Q3" s="78"/>
      <c r="R3" s="79"/>
      <c r="S3" s="79"/>
      <c r="T3" s="79"/>
    </row>
    <row r="4" spans="1:22" ht="15.6">
      <c r="A4" s="445" t="s">
        <v>178</v>
      </c>
      <c r="B4" s="445"/>
      <c r="C4" s="445"/>
      <c r="E4" s="76" t="s">
        <v>179</v>
      </c>
      <c r="F4" s="456" t="s">
        <v>9</v>
      </c>
      <c r="G4" s="456"/>
      <c r="H4" s="456"/>
      <c r="I4" s="456"/>
      <c r="J4" s="456"/>
      <c r="K4" s="458"/>
      <c r="L4" s="458"/>
      <c r="M4" s="458"/>
      <c r="N4" s="456"/>
      <c r="O4" s="458"/>
      <c r="P4" s="456"/>
      <c r="Q4" s="456"/>
      <c r="R4" s="458"/>
      <c r="S4" s="458"/>
      <c r="T4" s="458"/>
    </row>
    <row r="5" spans="1:22" ht="15.6">
      <c r="A5" s="484" t="s">
        <v>180</v>
      </c>
      <c r="B5" s="484"/>
      <c r="C5" s="484"/>
      <c r="E5" s="70" t="s">
        <v>10</v>
      </c>
      <c r="F5" s="445" t="s">
        <v>181</v>
      </c>
      <c r="G5" s="445"/>
      <c r="H5" s="445"/>
      <c r="I5" s="445"/>
      <c r="J5" s="445"/>
      <c r="K5" s="445"/>
      <c r="L5" s="445"/>
      <c r="M5" s="445"/>
      <c r="N5" s="445"/>
      <c r="O5" s="445"/>
      <c r="P5" s="445"/>
      <c r="Q5" s="445"/>
      <c r="R5" s="445"/>
      <c r="S5" s="445"/>
      <c r="T5" s="445"/>
    </row>
    <row r="6" spans="1:22" ht="15.6">
      <c r="A6" s="444" t="s">
        <v>358</v>
      </c>
      <c r="B6" s="445"/>
      <c r="C6" s="445"/>
      <c r="E6" s="71" t="s">
        <v>37</v>
      </c>
      <c r="F6" s="445" t="s">
        <v>183</v>
      </c>
      <c r="G6" s="445"/>
      <c r="H6" s="445"/>
      <c r="I6" s="445"/>
      <c r="J6" s="445"/>
      <c r="K6" s="446"/>
      <c r="L6" s="446"/>
      <c r="M6" s="446"/>
      <c r="N6" s="445"/>
      <c r="O6" s="446"/>
      <c r="P6" s="445"/>
      <c r="Q6" s="445"/>
      <c r="R6" s="446"/>
      <c r="S6" s="446"/>
      <c r="T6" s="446"/>
    </row>
    <row r="7" spans="1:22" ht="15.6">
      <c r="A7" s="444" t="s">
        <v>359</v>
      </c>
      <c r="B7" s="445"/>
      <c r="C7" s="445"/>
      <c r="E7" s="214" t="s">
        <v>40</v>
      </c>
      <c r="F7" s="445" t="s">
        <v>185</v>
      </c>
      <c r="G7" s="445"/>
      <c r="H7" s="445"/>
      <c r="I7" s="445"/>
      <c r="J7" s="445"/>
      <c r="K7" s="446"/>
      <c r="L7" s="446"/>
      <c r="M7" s="446"/>
      <c r="N7" s="445"/>
      <c r="O7" s="446"/>
      <c r="P7" s="445"/>
      <c r="Q7" s="445"/>
      <c r="R7" s="446"/>
      <c r="S7" s="446"/>
      <c r="T7" s="446"/>
    </row>
    <row r="8" spans="1:22" ht="38.25" customHeight="1">
      <c r="A8" s="447" t="s">
        <v>186</v>
      </c>
      <c r="B8" s="447"/>
      <c r="C8" s="447"/>
      <c r="E8" s="4" t="s">
        <v>187</v>
      </c>
      <c r="F8" s="448" t="s">
        <v>188</v>
      </c>
      <c r="G8" s="448"/>
      <c r="H8" s="448"/>
      <c r="I8" s="448"/>
      <c r="J8" s="448"/>
      <c r="K8" s="449"/>
      <c r="L8" s="449"/>
      <c r="M8" s="449"/>
      <c r="N8" s="448"/>
      <c r="O8" s="449"/>
      <c r="P8" s="448"/>
      <c r="Q8" s="448"/>
      <c r="R8" s="449"/>
      <c r="S8" s="449"/>
      <c r="T8" s="449"/>
    </row>
    <row r="9" spans="1:22" ht="14.45" customHeight="1">
      <c r="A9" s="323"/>
      <c r="B9" s="323"/>
      <c r="C9" s="323"/>
      <c r="D9" s="384"/>
      <c r="E9" s="4" t="s">
        <v>360</v>
      </c>
      <c r="F9" s="4"/>
      <c r="G9" s="4"/>
      <c r="H9" s="4"/>
      <c r="I9" s="4"/>
      <c r="J9" s="4"/>
      <c r="K9" s="152"/>
      <c r="L9" s="152"/>
      <c r="M9" s="152"/>
      <c r="N9" s="4"/>
      <c r="O9" s="152"/>
      <c r="P9" s="4"/>
      <c r="Q9" s="4"/>
      <c r="R9" s="152"/>
      <c r="S9" s="152"/>
      <c r="T9" s="152"/>
    </row>
    <row r="10" spans="1:22" ht="12.95" customHeight="1">
      <c r="A10" s="323"/>
      <c r="B10" s="323"/>
      <c r="C10" s="323"/>
      <c r="D10" s="386"/>
      <c r="E10" s="4" t="s">
        <v>361</v>
      </c>
      <c r="F10" s="4"/>
      <c r="G10" s="4"/>
      <c r="H10" s="4"/>
      <c r="I10" s="4"/>
      <c r="J10" s="4"/>
      <c r="K10" s="152"/>
      <c r="L10" s="152"/>
      <c r="M10" s="152"/>
      <c r="N10" s="4"/>
      <c r="O10" s="152"/>
      <c r="P10" s="4"/>
      <c r="Q10" s="4"/>
      <c r="R10" s="152"/>
      <c r="S10" s="152"/>
      <c r="T10" s="152"/>
    </row>
    <row r="11" spans="1:22" ht="12.95" customHeight="1">
      <c r="A11" s="323"/>
      <c r="B11" s="323"/>
      <c r="C11" s="323"/>
      <c r="D11" s="385"/>
      <c r="E11" s="4" t="s">
        <v>362</v>
      </c>
      <c r="F11" s="4"/>
      <c r="G11" s="4"/>
      <c r="H11" s="4"/>
      <c r="I11" s="4"/>
      <c r="J11" s="4"/>
      <c r="K11" s="152"/>
      <c r="L11" s="152"/>
      <c r="M11" s="152"/>
      <c r="N11" s="4"/>
      <c r="O11" s="152"/>
      <c r="P11" s="4"/>
      <c r="Q11" s="4"/>
      <c r="R11" s="152"/>
      <c r="S11" s="152"/>
      <c r="T11" s="152"/>
    </row>
    <row r="12" spans="1:22" ht="11.1" customHeight="1">
      <c r="J12" s="319"/>
      <c r="K12" s="319"/>
      <c r="L12" s="319"/>
      <c r="M12" s="319"/>
      <c r="N12" s="319"/>
    </row>
    <row r="13" spans="1:22" ht="15.95" customHeight="1">
      <c r="A13" s="485" t="s">
        <v>189</v>
      </c>
      <c r="B13" s="485"/>
      <c r="C13" s="485"/>
      <c r="D13" s="490" t="s">
        <v>28</v>
      </c>
      <c r="E13" s="491"/>
      <c r="F13" s="491"/>
      <c r="G13" s="491"/>
      <c r="H13" s="491"/>
      <c r="I13" s="491"/>
      <c r="J13" s="491"/>
      <c r="K13" s="490" t="s">
        <v>363</v>
      </c>
      <c r="L13" s="491"/>
      <c r="M13" s="491"/>
      <c r="N13" s="493"/>
      <c r="O13" s="492"/>
      <c r="P13" s="488" t="s">
        <v>191</v>
      </c>
      <c r="Q13" s="489"/>
      <c r="R13" s="490" t="s">
        <v>364</v>
      </c>
      <c r="S13" s="491"/>
      <c r="T13" s="491"/>
      <c r="U13" s="492"/>
      <c r="V13" s="486" t="s">
        <v>193</v>
      </c>
    </row>
    <row r="14" spans="1:22" ht="15.6">
      <c r="A14" s="16" t="s">
        <v>8</v>
      </c>
      <c r="B14" s="16" t="s">
        <v>194</v>
      </c>
      <c r="C14" s="16" t="s">
        <v>9</v>
      </c>
      <c r="D14" s="286" t="s">
        <v>195</v>
      </c>
      <c r="E14" s="287" t="s">
        <v>9</v>
      </c>
      <c r="F14" s="287" t="s">
        <v>29</v>
      </c>
      <c r="G14" s="286" t="s">
        <v>30</v>
      </c>
      <c r="H14" s="287" t="s">
        <v>196</v>
      </c>
      <c r="I14" s="288" t="s">
        <v>197</v>
      </c>
      <c r="J14" s="288" t="s">
        <v>198</v>
      </c>
      <c r="K14" s="286" t="s">
        <v>199</v>
      </c>
      <c r="L14" s="286" t="s">
        <v>200</v>
      </c>
      <c r="M14" s="286" t="s">
        <v>201</v>
      </c>
      <c r="N14" s="286" t="s">
        <v>202</v>
      </c>
      <c r="O14" s="286" t="s">
        <v>203</v>
      </c>
      <c r="P14" s="63" t="s">
        <v>204</v>
      </c>
      <c r="Q14" s="63" t="s">
        <v>190</v>
      </c>
      <c r="R14" s="286" t="s">
        <v>199</v>
      </c>
      <c r="S14" s="286" t="s">
        <v>365</v>
      </c>
      <c r="T14" s="286" t="s">
        <v>202</v>
      </c>
      <c r="U14" s="286" t="s">
        <v>203</v>
      </c>
      <c r="V14" s="487"/>
    </row>
    <row r="15" spans="1:22" ht="34.5" customHeight="1">
      <c r="A15" s="45" t="s">
        <v>10</v>
      </c>
      <c r="B15" s="46">
        <v>1</v>
      </c>
      <c r="C15" s="47" t="str">
        <f>'Log frame'!B13</f>
        <v>Increased access to safe, sustainable and affordable water, sanitation and hygiene (WASH) services in Haiti​.</v>
      </c>
      <c r="D15" s="47" t="s">
        <v>36</v>
      </c>
      <c r="E15" s="47" t="s">
        <v>36</v>
      </c>
      <c r="F15" s="47" t="s">
        <v>36</v>
      </c>
      <c r="G15" s="47" t="s">
        <v>36</v>
      </c>
      <c r="H15" s="126" t="s">
        <v>36</v>
      </c>
      <c r="I15" s="119" t="str">
        <f>"Mattson"</f>
        <v>Mattson</v>
      </c>
      <c r="J15" s="134" t="s">
        <v>36</v>
      </c>
      <c r="K15" s="47" t="s">
        <v>36</v>
      </c>
      <c r="L15" s="47" t="s">
        <v>36</v>
      </c>
      <c r="M15" s="47"/>
      <c r="N15" s="47" t="s">
        <v>36</v>
      </c>
      <c r="O15" s="47" t="s">
        <v>36</v>
      </c>
      <c r="P15" s="47" t="s">
        <v>36</v>
      </c>
      <c r="Q15" s="47" t="s">
        <v>36</v>
      </c>
      <c r="R15" s="47" t="s">
        <v>36</v>
      </c>
      <c r="S15" s="47" t="s">
        <v>36</v>
      </c>
      <c r="T15" s="47" t="s">
        <v>36</v>
      </c>
      <c r="U15" s="47" t="s">
        <v>36</v>
      </c>
      <c r="V15" s="47" t="s">
        <v>207</v>
      </c>
    </row>
    <row r="16" spans="1:22" ht="34.5" customHeight="1">
      <c r="A16" s="48" t="s">
        <v>37</v>
      </c>
      <c r="B16" s="49">
        <v>1000</v>
      </c>
      <c r="C16" s="50" t="str">
        <f>'Log frame'!B15</f>
        <v>Strengthened demand for and management of WASH services in communes.</v>
      </c>
      <c r="D16" s="50" t="s">
        <v>36</v>
      </c>
      <c r="E16" s="50" t="s">
        <v>36</v>
      </c>
      <c r="F16" s="50" t="s">
        <v>36</v>
      </c>
      <c r="G16" s="50" t="s">
        <v>36</v>
      </c>
      <c r="H16" s="127" t="s">
        <v>36</v>
      </c>
      <c r="I16" s="120" t="str">
        <f t="shared" ref="I16:I73" si="0">"Mattson"</f>
        <v>Mattson</v>
      </c>
      <c r="J16" s="135" t="s">
        <v>36</v>
      </c>
      <c r="K16" s="50" t="s">
        <v>36</v>
      </c>
      <c r="L16" s="50" t="s">
        <v>36</v>
      </c>
      <c r="M16" s="50"/>
      <c r="N16" s="50" t="s">
        <v>36</v>
      </c>
      <c r="O16" s="50" t="s">
        <v>36</v>
      </c>
      <c r="P16" s="50" t="s">
        <v>36</v>
      </c>
      <c r="Q16" s="50" t="s">
        <v>36</v>
      </c>
      <c r="R16" s="50" t="s">
        <v>36</v>
      </c>
      <c r="S16" s="50" t="s">
        <v>36</v>
      </c>
      <c r="T16" s="50" t="s">
        <v>36</v>
      </c>
      <c r="U16" s="50" t="s">
        <v>36</v>
      </c>
      <c r="V16" s="50" t="s">
        <v>207</v>
      </c>
    </row>
    <row r="17" spans="1:16383" ht="34.5" customHeight="1">
      <c r="A17" s="51" t="s">
        <v>40</v>
      </c>
      <c r="B17" s="52">
        <v>1100</v>
      </c>
      <c r="C17" s="53" t="str">
        <f>'Log frame'!B17</f>
        <v>Increased civil society engagement in decision making and implementation of WASH services.</v>
      </c>
      <c r="D17" s="373" t="s">
        <v>39</v>
      </c>
      <c r="E17" s="53" t="s">
        <v>366</v>
      </c>
      <c r="F17" s="53" t="s">
        <v>367</v>
      </c>
      <c r="G17" s="53" t="s">
        <v>368</v>
      </c>
      <c r="H17" s="128" t="s">
        <v>209</v>
      </c>
      <c r="I17" s="121" t="str">
        <f t="shared" si="0"/>
        <v>Mattson</v>
      </c>
      <c r="J17" s="113" t="s">
        <v>210</v>
      </c>
      <c r="K17" s="55" t="s">
        <v>211</v>
      </c>
      <c r="L17" s="65" t="s">
        <v>369</v>
      </c>
      <c r="M17" s="65"/>
      <c r="N17" s="51" t="s">
        <v>370</v>
      </c>
      <c r="O17" s="55" t="s">
        <v>215</v>
      </c>
      <c r="P17" s="64"/>
      <c r="Q17" s="64"/>
      <c r="R17" s="65" t="s">
        <v>223</v>
      </c>
      <c r="S17" s="65" t="s">
        <v>371</v>
      </c>
      <c r="T17" s="65" t="s">
        <v>268</v>
      </c>
      <c r="U17" s="276" t="s">
        <v>215</v>
      </c>
      <c r="V17" s="280" t="s">
        <v>219</v>
      </c>
    </row>
    <row r="18" spans="1:16383" s="246" customFormat="1" ht="34.5" customHeight="1">
      <c r="A18" s="235" t="s">
        <v>40</v>
      </c>
      <c r="B18" s="236">
        <v>1100</v>
      </c>
      <c r="C18" s="238" t="s">
        <v>41</v>
      </c>
      <c r="D18" s="374" t="s">
        <v>44</v>
      </c>
      <c r="E18" s="238" t="s">
        <v>372</v>
      </c>
      <c r="F18" s="238" t="s">
        <v>373</v>
      </c>
      <c r="G18" s="238" t="s">
        <v>374</v>
      </c>
      <c r="H18" s="272" t="s">
        <v>221</v>
      </c>
      <c r="I18" s="273" t="s">
        <v>222</v>
      </c>
      <c r="J18" s="243" t="s">
        <v>210</v>
      </c>
      <c r="K18" s="244" t="s">
        <v>211</v>
      </c>
      <c r="L18" s="245" t="s">
        <v>369</v>
      </c>
      <c r="M18" s="245"/>
      <c r="N18" s="235" t="s">
        <v>370</v>
      </c>
      <c r="O18" s="244" t="s">
        <v>215</v>
      </c>
      <c r="P18" s="65" t="s">
        <v>223</v>
      </c>
      <c r="Q18" s="65" t="s">
        <v>371</v>
      </c>
      <c r="R18" s="245" t="s">
        <v>223</v>
      </c>
      <c r="S18" s="245" t="s">
        <v>371</v>
      </c>
      <c r="T18" s="275" t="s">
        <v>268</v>
      </c>
      <c r="U18" s="279" t="s">
        <v>215</v>
      </c>
      <c r="V18" s="253"/>
    </row>
    <row r="19" spans="1:16383" ht="48.6" customHeight="1">
      <c r="A19" s="14" t="s">
        <v>16</v>
      </c>
      <c r="B19" s="10">
        <v>1110</v>
      </c>
      <c r="C19" s="12" t="s">
        <v>48</v>
      </c>
      <c r="D19" s="374" t="s">
        <v>47</v>
      </c>
      <c r="E19" s="9" t="s">
        <v>375</v>
      </c>
      <c r="F19" s="9" t="s">
        <v>376</v>
      </c>
      <c r="G19" s="14" t="s">
        <v>377</v>
      </c>
      <c r="H19" s="129" t="s">
        <v>209</v>
      </c>
      <c r="I19" s="122" t="str">
        <f t="shared" si="0"/>
        <v>Mattson</v>
      </c>
      <c r="J19" s="136" t="s">
        <v>210</v>
      </c>
      <c r="K19" s="22" t="s">
        <v>211</v>
      </c>
      <c r="L19" s="197" t="s">
        <v>369</v>
      </c>
      <c r="M19" s="320"/>
      <c r="N19" s="14" t="s">
        <v>370</v>
      </c>
      <c r="O19" s="22" t="s">
        <v>215</v>
      </c>
      <c r="P19" s="17"/>
      <c r="Q19" s="182"/>
      <c r="R19" s="231" t="s">
        <v>223</v>
      </c>
      <c r="S19" s="198" t="s">
        <v>371</v>
      </c>
      <c r="T19" s="190" t="s">
        <v>268</v>
      </c>
      <c r="U19" s="252" t="s">
        <v>215</v>
      </c>
      <c r="V19" s="67" t="s">
        <v>219</v>
      </c>
    </row>
    <row r="20" spans="1:16383" s="246" customFormat="1" ht="34.5" customHeight="1">
      <c r="A20" s="235" t="s">
        <v>16</v>
      </c>
      <c r="B20" s="236">
        <v>1110</v>
      </c>
      <c r="C20" s="277" t="s">
        <v>48</v>
      </c>
      <c r="D20" s="375" t="s">
        <v>378</v>
      </c>
      <c r="E20" s="238" t="s">
        <v>379</v>
      </c>
      <c r="F20" s="238" t="s">
        <v>380</v>
      </c>
      <c r="G20" s="235" t="s">
        <v>100</v>
      </c>
      <c r="H20" s="272" t="s">
        <v>209</v>
      </c>
      <c r="I20" s="273" t="s">
        <v>222</v>
      </c>
      <c r="J20" s="243" t="s">
        <v>210</v>
      </c>
      <c r="K20" s="244" t="s">
        <v>211</v>
      </c>
      <c r="L20" s="278" t="s">
        <v>369</v>
      </c>
      <c r="M20" s="321"/>
      <c r="N20" s="235" t="s">
        <v>370</v>
      </c>
      <c r="O20" s="244" t="s">
        <v>215</v>
      </c>
      <c r="P20" s="231" t="s">
        <v>223</v>
      </c>
      <c r="Q20" s="198" t="s">
        <v>371</v>
      </c>
      <c r="R20" s="245" t="s">
        <v>268</v>
      </c>
      <c r="S20" s="245" t="s">
        <v>371</v>
      </c>
      <c r="T20" s="245" t="s">
        <v>268</v>
      </c>
      <c r="V20" s="253"/>
    </row>
    <row r="21" spans="1:16383" ht="34.5" customHeight="1">
      <c r="A21" s="14" t="s">
        <v>16</v>
      </c>
      <c r="B21" s="10">
        <v>1120</v>
      </c>
      <c r="C21" s="15" t="str">
        <f>'Log frame'!B21</f>
        <v>Train HANWASH Ambassadors &amp; Coordinators and their committees throughout the Caribbean.​</v>
      </c>
      <c r="D21" s="375" t="s">
        <v>381</v>
      </c>
      <c r="E21" s="9" t="s">
        <v>382</v>
      </c>
      <c r="F21" s="9" t="s">
        <v>383</v>
      </c>
      <c r="G21" s="14" t="s">
        <v>100</v>
      </c>
      <c r="H21" s="129" t="s">
        <v>209</v>
      </c>
      <c r="I21" s="122" t="str">
        <f t="shared" si="0"/>
        <v>Mattson</v>
      </c>
      <c r="J21" s="136" t="s">
        <v>384</v>
      </c>
      <c r="K21" s="22" t="s">
        <v>211</v>
      </c>
      <c r="L21" s="14" t="s">
        <v>385</v>
      </c>
      <c r="M21" s="14"/>
      <c r="N21" s="14" t="s">
        <v>386</v>
      </c>
      <c r="O21" s="22" t="s">
        <v>215</v>
      </c>
      <c r="P21" s="17"/>
      <c r="Q21" s="182"/>
      <c r="R21" s="231" t="s">
        <v>223</v>
      </c>
      <c r="S21" s="198" t="s">
        <v>371</v>
      </c>
      <c r="T21" s="13" t="s">
        <v>268</v>
      </c>
      <c r="U21" s="22" t="s">
        <v>215</v>
      </c>
      <c r="V21" s="190" t="s">
        <v>240</v>
      </c>
    </row>
    <row r="22" spans="1:16383" ht="34.5" customHeight="1">
      <c r="A22" s="14" t="s">
        <v>16</v>
      </c>
      <c r="B22" s="10">
        <v>1120</v>
      </c>
      <c r="C22" s="15" t="str">
        <f>'Log frame'!B21</f>
        <v>Train HANWASH Ambassadors &amp; Coordinators and their committees throughout the Caribbean.​</v>
      </c>
      <c r="D22" s="375" t="s">
        <v>387</v>
      </c>
      <c r="E22" s="9" t="s">
        <v>388</v>
      </c>
      <c r="F22" s="9" t="s">
        <v>389</v>
      </c>
      <c r="G22" s="14" t="s">
        <v>100</v>
      </c>
      <c r="H22" s="129" t="s">
        <v>209</v>
      </c>
      <c r="I22" s="122" t="str">
        <f t="shared" si="0"/>
        <v>Mattson</v>
      </c>
      <c r="J22" s="136" t="s">
        <v>384</v>
      </c>
      <c r="K22" s="22" t="s">
        <v>211</v>
      </c>
      <c r="L22" s="14" t="s">
        <v>385</v>
      </c>
      <c r="M22" s="14"/>
      <c r="N22" s="14" t="s">
        <v>386</v>
      </c>
      <c r="O22" s="22" t="s">
        <v>215</v>
      </c>
      <c r="P22" s="17"/>
      <c r="Q22" s="182"/>
      <c r="R22" s="231" t="s">
        <v>223</v>
      </c>
      <c r="S22" s="198" t="s">
        <v>371</v>
      </c>
      <c r="T22" s="13" t="s">
        <v>268</v>
      </c>
      <c r="U22" s="260" t="s">
        <v>215</v>
      </c>
      <c r="V22" s="261" t="s">
        <v>240</v>
      </c>
    </row>
    <row r="23" spans="1:16383" s="246" customFormat="1" ht="34.5" customHeight="1">
      <c r="A23" s="235" t="s">
        <v>16</v>
      </c>
      <c r="B23" s="236">
        <v>1120</v>
      </c>
      <c r="C23" s="271" t="s">
        <v>356</v>
      </c>
      <c r="D23" s="375" t="s">
        <v>390</v>
      </c>
      <c r="E23" s="238" t="s">
        <v>391</v>
      </c>
      <c r="F23" s="238" t="s">
        <v>392</v>
      </c>
      <c r="G23" s="235" t="s">
        <v>393</v>
      </c>
      <c r="H23" s="272" t="s">
        <v>221</v>
      </c>
      <c r="I23" s="273" t="s">
        <v>222</v>
      </c>
      <c r="J23" s="243" t="s">
        <v>394</v>
      </c>
      <c r="K23" s="244" t="s">
        <v>211</v>
      </c>
      <c r="L23" s="235" t="s">
        <v>385</v>
      </c>
      <c r="M23" s="235"/>
      <c r="N23" s="235" t="s">
        <v>236</v>
      </c>
      <c r="O23" s="244" t="s">
        <v>215</v>
      </c>
      <c r="P23" s="231" t="s">
        <v>223</v>
      </c>
      <c r="Q23" s="198" t="s">
        <v>371</v>
      </c>
      <c r="R23" s="245" t="s">
        <v>223</v>
      </c>
      <c r="S23" s="198" t="s">
        <v>371</v>
      </c>
      <c r="T23" s="275" t="s">
        <v>268</v>
      </c>
      <c r="U23" s="259" t="s">
        <v>215</v>
      </c>
      <c r="V23" s="253"/>
    </row>
    <row r="24" spans="1:16383" ht="39.6" customHeight="1">
      <c r="A24" s="235" t="s">
        <v>16</v>
      </c>
      <c r="B24" s="236">
        <v>1120</v>
      </c>
      <c r="C24" s="271" t="s">
        <v>356</v>
      </c>
      <c r="D24" s="375" t="s">
        <v>395</v>
      </c>
      <c r="E24" s="238" t="s">
        <v>396</v>
      </c>
      <c r="F24" s="238" t="s">
        <v>397</v>
      </c>
      <c r="G24" s="235" t="s">
        <v>398</v>
      </c>
      <c r="H24" s="272" t="s">
        <v>221</v>
      </c>
      <c r="I24" s="273" t="s">
        <v>222</v>
      </c>
      <c r="J24" s="243" t="s">
        <v>394</v>
      </c>
      <c r="K24" s="244" t="s">
        <v>211</v>
      </c>
      <c r="L24" s="235" t="s">
        <v>385</v>
      </c>
      <c r="M24" s="235"/>
      <c r="N24" s="235" t="s">
        <v>268</v>
      </c>
      <c r="O24" s="244" t="s">
        <v>215</v>
      </c>
      <c r="P24" s="245" t="s">
        <v>223</v>
      </c>
      <c r="Q24" s="244" t="s">
        <v>215</v>
      </c>
      <c r="R24" s="245" t="s">
        <v>223</v>
      </c>
      <c r="S24" s="198" t="s">
        <v>371</v>
      </c>
      <c r="T24" s="253" t="s">
        <v>268</v>
      </c>
      <c r="U24" s="259" t="s">
        <v>215</v>
      </c>
      <c r="V24" s="253"/>
      <c r="W24" s="246"/>
      <c r="X24" s="246"/>
      <c r="Y24" s="246"/>
      <c r="Z24" s="246"/>
      <c r="AA24" s="246"/>
      <c r="AB24" s="246"/>
      <c r="AC24" s="246"/>
      <c r="AD24" s="246"/>
      <c r="AE24" s="246"/>
      <c r="AF24" s="246"/>
      <c r="AG24" s="246"/>
      <c r="AH24" s="246"/>
      <c r="AI24" s="246"/>
      <c r="AJ24" s="246"/>
      <c r="AK24" s="246"/>
      <c r="AL24" s="246"/>
      <c r="AM24" s="246"/>
      <c r="AN24" s="246"/>
      <c r="AO24" s="246"/>
      <c r="AP24" s="246"/>
      <c r="AQ24" s="246"/>
      <c r="AR24" s="246"/>
      <c r="AS24" s="246"/>
      <c r="AT24" s="246"/>
      <c r="AU24" s="246"/>
      <c r="AV24" s="246"/>
      <c r="AW24" s="246"/>
      <c r="AX24" s="246"/>
      <c r="AY24" s="246"/>
      <c r="AZ24" s="246"/>
      <c r="BA24" s="246"/>
      <c r="BB24" s="246"/>
      <c r="BC24" s="246"/>
      <c r="BD24" s="246"/>
      <c r="BE24" s="246"/>
      <c r="BF24" s="246"/>
      <c r="BG24" s="246"/>
      <c r="BH24" s="246"/>
      <c r="BI24" s="246"/>
      <c r="BJ24" s="246"/>
      <c r="BK24" s="246"/>
      <c r="BL24" s="246"/>
      <c r="BM24" s="246"/>
      <c r="BN24" s="246"/>
      <c r="BO24" s="246"/>
      <c r="BP24" s="246"/>
      <c r="BQ24" s="246"/>
      <c r="BR24" s="246"/>
      <c r="BS24" s="246"/>
      <c r="BT24" s="246"/>
      <c r="BU24" s="246"/>
      <c r="BV24" s="246"/>
      <c r="BW24" s="246"/>
      <c r="BX24" s="246"/>
      <c r="BY24" s="246"/>
      <c r="BZ24" s="246"/>
      <c r="CA24" s="246"/>
      <c r="CB24" s="246"/>
      <c r="CC24" s="246"/>
      <c r="CD24" s="246"/>
      <c r="CE24" s="246"/>
      <c r="CF24" s="246"/>
      <c r="CG24" s="246"/>
      <c r="CH24" s="246"/>
      <c r="CI24" s="246"/>
      <c r="CJ24" s="246"/>
      <c r="CK24" s="246"/>
      <c r="CL24" s="246"/>
      <c r="CM24" s="246"/>
      <c r="CN24" s="246"/>
      <c r="CO24" s="246"/>
      <c r="CP24" s="246"/>
      <c r="CQ24" s="246"/>
      <c r="CR24" s="246"/>
      <c r="CS24" s="246"/>
      <c r="CT24" s="246"/>
      <c r="CU24" s="246"/>
      <c r="CV24" s="246"/>
      <c r="CW24" s="246"/>
      <c r="CX24" s="246"/>
      <c r="CY24" s="246"/>
      <c r="CZ24" s="246"/>
      <c r="DA24" s="246"/>
      <c r="DB24" s="246"/>
      <c r="DC24" s="246"/>
      <c r="DD24" s="246"/>
      <c r="DE24" s="246"/>
      <c r="DF24" s="246"/>
      <c r="DG24" s="246"/>
      <c r="DH24" s="246"/>
      <c r="DI24" s="246"/>
      <c r="DJ24" s="246"/>
      <c r="DK24" s="246"/>
      <c r="DL24" s="246"/>
      <c r="DM24" s="246"/>
      <c r="DN24" s="246"/>
      <c r="DO24" s="246"/>
      <c r="DP24" s="246"/>
      <c r="DQ24" s="246"/>
      <c r="DR24" s="246"/>
      <c r="DS24" s="246"/>
      <c r="DT24" s="246"/>
      <c r="DU24" s="246"/>
      <c r="DV24" s="246"/>
      <c r="DW24" s="246"/>
      <c r="DX24" s="246"/>
      <c r="DY24" s="246"/>
      <c r="DZ24" s="246"/>
      <c r="EA24" s="246"/>
      <c r="EB24" s="246"/>
      <c r="EC24" s="246"/>
      <c r="ED24" s="246"/>
      <c r="EE24" s="246"/>
      <c r="EF24" s="246"/>
      <c r="EG24" s="246"/>
      <c r="EH24" s="246"/>
      <c r="EI24" s="246"/>
      <c r="EJ24" s="246"/>
      <c r="EK24" s="246"/>
      <c r="EL24" s="246"/>
      <c r="EM24" s="246"/>
      <c r="EN24" s="246"/>
      <c r="EO24" s="246"/>
      <c r="EP24" s="246"/>
      <c r="EQ24" s="246"/>
      <c r="ER24" s="246"/>
      <c r="ES24" s="246"/>
      <c r="ET24" s="246"/>
      <c r="EU24" s="246"/>
      <c r="EV24" s="246"/>
      <c r="EW24" s="246"/>
      <c r="EX24" s="246"/>
      <c r="EY24" s="246"/>
      <c r="EZ24" s="246"/>
      <c r="FA24" s="246"/>
      <c r="FB24" s="246"/>
      <c r="FC24" s="246"/>
      <c r="FD24" s="246"/>
      <c r="FE24" s="246"/>
      <c r="FF24" s="246"/>
      <c r="FG24" s="246"/>
      <c r="FH24" s="246"/>
      <c r="FI24" s="246"/>
      <c r="FJ24" s="246"/>
      <c r="FK24" s="246"/>
      <c r="FL24" s="246"/>
      <c r="FM24" s="246"/>
      <c r="FN24" s="246"/>
      <c r="FO24" s="246"/>
      <c r="FP24" s="246"/>
      <c r="FQ24" s="246"/>
      <c r="FR24" s="246"/>
      <c r="FS24" s="246"/>
      <c r="FT24" s="246"/>
      <c r="FU24" s="246"/>
      <c r="FV24" s="246"/>
      <c r="FW24" s="246"/>
      <c r="FX24" s="246"/>
      <c r="FY24" s="246"/>
      <c r="FZ24" s="246"/>
      <c r="GA24" s="246"/>
      <c r="GB24" s="246"/>
      <c r="GC24" s="246"/>
      <c r="GD24" s="246"/>
      <c r="GE24" s="246"/>
      <c r="GF24" s="246"/>
      <c r="GG24" s="246"/>
      <c r="GH24" s="246"/>
      <c r="GI24" s="246"/>
      <c r="GJ24" s="246"/>
      <c r="GK24" s="246"/>
      <c r="GL24" s="246"/>
      <c r="GM24" s="246"/>
      <c r="GN24" s="246"/>
      <c r="GO24" s="246"/>
      <c r="GP24" s="246"/>
      <c r="GQ24" s="246"/>
      <c r="GR24" s="246"/>
      <c r="GS24" s="246"/>
      <c r="GT24" s="246"/>
      <c r="GU24" s="246"/>
      <c r="GV24" s="246"/>
      <c r="GW24" s="246"/>
      <c r="GX24" s="246"/>
      <c r="GY24" s="246"/>
      <c r="GZ24" s="246"/>
      <c r="HA24" s="246"/>
      <c r="HB24" s="246"/>
      <c r="HC24" s="246"/>
      <c r="HD24" s="246"/>
      <c r="HE24" s="246"/>
      <c r="HF24" s="246"/>
      <c r="HG24" s="246"/>
      <c r="HH24" s="246"/>
      <c r="HI24" s="246"/>
      <c r="HJ24" s="246"/>
      <c r="HK24" s="246"/>
      <c r="HL24" s="246"/>
      <c r="HM24" s="246"/>
      <c r="HN24" s="246"/>
      <c r="HO24" s="246"/>
      <c r="HP24" s="246"/>
      <c r="HQ24" s="246"/>
      <c r="HR24" s="246"/>
      <c r="HS24" s="246"/>
      <c r="HT24" s="246"/>
      <c r="HU24" s="246"/>
      <c r="HV24" s="246"/>
      <c r="HW24" s="246"/>
      <c r="HX24" s="246"/>
      <c r="HY24" s="246"/>
      <c r="HZ24" s="246"/>
      <c r="IA24" s="246"/>
      <c r="IB24" s="246"/>
      <c r="IC24" s="246"/>
      <c r="ID24" s="246"/>
      <c r="IE24" s="246"/>
      <c r="IF24" s="246"/>
      <c r="IG24" s="246"/>
      <c r="IH24" s="246"/>
      <c r="II24" s="246"/>
      <c r="IJ24" s="246"/>
      <c r="IK24" s="246"/>
      <c r="IL24" s="246"/>
      <c r="IM24" s="246"/>
      <c r="IN24" s="246"/>
      <c r="IO24" s="246"/>
      <c r="IP24" s="246"/>
      <c r="IQ24" s="246"/>
      <c r="IR24" s="246"/>
      <c r="IS24" s="246"/>
      <c r="IT24" s="246"/>
      <c r="IU24" s="246"/>
      <c r="IV24" s="246"/>
      <c r="IW24" s="246"/>
      <c r="IX24" s="246"/>
      <c r="IY24" s="246"/>
      <c r="IZ24" s="246"/>
      <c r="JA24" s="246"/>
      <c r="JB24" s="246"/>
      <c r="JC24" s="246"/>
      <c r="JD24" s="246"/>
      <c r="JE24" s="246"/>
      <c r="JF24" s="246"/>
      <c r="JG24" s="246"/>
      <c r="JH24" s="246"/>
      <c r="JI24" s="246"/>
      <c r="JJ24" s="246"/>
      <c r="JK24" s="246"/>
      <c r="JL24" s="246"/>
      <c r="JM24" s="246"/>
      <c r="JN24" s="246"/>
      <c r="JO24" s="246"/>
      <c r="JP24" s="246"/>
      <c r="JQ24" s="246"/>
      <c r="JR24" s="246"/>
      <c r="JS24" s="246"/>
      <c r="JT24" s="246"/>
      <c r="JU24" s="246"/>
      <c r="JV24" s="246"/>
      <c r="JW24" s="246"/>
      <c r="JX24" s="246"/>
      <c r="JY24" s="246"/>
      <c r="JZ24" s="246"/>
      <c r="KA24" s="246"/>
      <c r="KB24" s="246"/>
      <c r="KC24" s="246"/>
      <c r="KD24" s="246"/>
      <c r="KE24" s="246"/>
      <c r="KF24" s="246"/>
      <c r="KG24" s="246"/>
      <c r="KH24" s="246"/>
      <c r="KI24" s="246"/>
      <c r="KJ24" s="246"/>
      <c r="KK24" s="246"/>
      <c r="KL24" s="246"/>
      <c r="KM24" s="246"/>
      <c r="KN24" s="246"/>
      <c r="KO24" s="246"/>
      <c r="KP24" s="246"/>
      <c r="KQ24" s="246"/>
      <c r="KR24" s="246"/>
      <c r="KS24" s="246"/>
      <c r="KT24" s="246"/>
      <c r="KU24" s="246"/>
      <c r="KV24" s="246"/>
      <c r="KW24" s="246"/>
      <c r="KX24" s="246"/>
      <c r="KY24" s="246"/>
      <c r="KZ24" s="246"/>
      <c r="LA24" s="246"/>
      <c r="LB24" s="246"/>
      <c r="LC24" s="246"/>
      <c r="LD24" s="246"/>
      <c r="LE24" s="246"/>
      <c r="LF24" s="246"/>
      <c r="LG24" s="246"/>
      <c r="LH24" s="246"/>
      <c r="LI24" s="246"/>
      <c r="LJ24" s="246"/>
      <c r="LK24" s="246"/>
      <c r="LL24" s="246"/>
      <c r="LM24" s="246"/>
      <c r="LN24" s="246"/>
      <c r="LO24" s="246"/>
      <c r="LP24" s="246"/>
      <c r="LQ24" s="246"/>
      <c r="LR24" s="246"/>
      <c r="LS24" s="246"/>
      <c r="LT24" s="246"/>
      <c r="LU24" s="246"/>
      <c r="LV24" s="246"/>
      <c r="LW24" s="246"/>
      <c r="LX24" s="246"/>
      <c r="LY24" s="246"/>
      <c r="LZ24" s="246"/>
      <c r="MA24" s="246"/>
      <c r="MB24" s="246"/>
      <c r="MC24" s="246"/>
      <c r="MD24" s="246"/>
      <c r="ME24" s="246"/>
      <c r="MF24" s="246"/>
      <c r="MG24" s="246"/>
      <c r="MH24" s="246"/>
      <c r="MI24" s="246"/>
      <c r="MJ24" s="246"/>
      <c r="MK24" s="246"/>
      <c r="ML24" s="246"/>
      <c r="MM24" s="246"/>
      <c r="MN24" s="246"/>
      <c r="MO24" s="246"/>
      <c r="MP24" s="246"/>
      <c r="MQ24" s="246"/>
      <c r="MR24" s="246"/>
      <c r="MS24" s="246"/>
      <c r="MT24" s="246"/>
      <c r="MU24" s="246"/>
      <c r="MV24" s="246"/>
      <c r="MW24" s="246"/>
      <c r="MX24" s="246"/>
      <c r="MY24" s="246"/>
      <c r="MZ24" s="246"/>
      <c r="NA24" s="246"/>
      <c r="NB24" s="246"/>
      <c r="NC24" s="246"/>
      <c r="ND24" s="246"/>
      <c r="NE24" s="246"/>
      <c r="NF24" s="246"/>
      <c r="NG24" s="246"/>
      <c r="NH24" s="246"/>
      <c r="NI24" s="246"/>
      <c r="NJ24" s="246"/>
      <c r="NK24" s="246"/>
      <c r="NL24" s="246"/>
      <c r="NM24" s="246"/>
      <c r="NN24" s="246"/>
      <c r="NO24" s="246"/>
      <c r="NP24" s="246"/>
      <c r="NQ24" s="246"/>
      <c r="NR24" s="246"/>
      <c r="NS24" s="246"/>
      <c r="NT24" s="246"/>
      <c r="NU24" s="246"/>
      <c r="NV24" s="246"/>
      <c r="NW24" s="246"/>
      <c r="NX24" s="246"/>
      <c r="NY24" s="246"/>
      <c r="NZ24" s="246"/>
      <c r="OA24" s="246"/>
      <c r="OB24" s="246"/>
      <c r="OC24" s="246"/>
      <c r="OD24" s="246"/>
      <c r="OE24" s="246"/>
      <c r="OF24" s="246"/>
      <c r="OG24" s="246"/>
      <c r="OH24" s="246"/>
      <c r="OI24" s="246"/>
      <c r="OJ24" s="246"/>
      <c r="OK24" s="246"/>
      <c r="OL24" s="246"/>
      <c r="OM24" s="246"/>
      <c r="ON24" s="246"/>
      <c r="OO24" s="246"/>
      <c r="OP24" s="246"/>
      <c r="OQ24" s="246"/>
      <c r="OR24" s="246"/>
      <c r="OS24" s="246"/>
      <c r="OT24" s="246"/>
      <c r="OU24" s="246"/>
      <c r="OV24" s="246"/>
      <c r="OW24" s="246"/>
      <c r="OX24" s="246"/>
      <c r="OY24" s="246"/>
      <c r="OZ24" s="246"/>
      <c r="PA24" s="246"/>
      <c r="PB24" s="246"/>
      <c r="PC24" s="246"/>
      <c r="PD24" s="246"/>
      <c r="PE24" s="246"/>
      <c r="PF24" s="246"/>
      <c r="PG24" s="246"/>
      <c r="PH24" s="246"/>
      <c r="PI24" s="246"/>
      <c r="PJ24" s="246"/>
      <c r="PK24" s="246"/>
      <c r="PL24" s="246"/>
      <c r="PM24" s="246"/>
      <c r="PN24" s="246"/>
      <c r="PO24" s="246"/>
      <c r="PP24" s="246"/>
      <c r="PQ24" s="246"/>
      <c r="PR24" s="246"/>
      <c r="PS24" s="246"/>
      <c r="PT24" s="246"/>
      <c r="PU24" s="246"/>
      <c r="PV24" s="246"/>
      <c r="PW24" s="246"/>
      <c r="PX24" s="246"/>
      <c r="PY24" s="246"/>
      <c r="PZ24" s="246"/>
      <c r="QA24" s="246"/>
      <c r="QB24" s="246"/>
      <c r="QC24" s="246"/>
      <c r="QD24" s="246"/>
      <c r="QE24" s="246"/>
      <c r="QF24" s="246"/>
      <c r="QG24" s="246"/>
      <c r="QH24" s="246"/>
      <c r="QI24" s="246"/>
      <c r="QJ24" s="246"/>
      <c r="QK24" s="246"/>
      <c r="QL24" s="246"/>
      <c r="QM24" s="246"/>
      <c r="QN24" s="246"/>
      <c r="QO24" s="246"/>
      <c r="QP24" s="246"/>
      <c r="QQ24" s="246"/>
      <c r="QR24" s="246"/>
      <c r="QS24" s="246"/>
      <c r="QT24" s="246"/>
      <c r="QU24" s="246"/>
      <c r="QV24" s="246"/>
      <c r="QW24" s="246"/>
      <c r="QX24" s="246"/>
      <c r="QY24" s="246"/>
      <c r="QZ24" s="246"/>
      <c r="RA24" s="246"/>
      <c r="RB24" s="246"/>
      <c r="RC24" s="246"/>
      <c r="RD24" s="246"/>
      <c r="RE24" s="246"/>
      <c r="RF24" s="246"/>
      <c r="RG24" s="246"/>
      <c r="RH24" s="246"/>
      <c r="RI24" s="246"/>
      <c r="RJ24" s="246"/>
      <c r="RK24" s="246"/>
      <c r="RL24" s="246"/>
      <c r="RM24" s="246"/>
      <c r="RN24" s="246"/>
      <c r="RO24" s="246"/>
      <c r="RP24" s="246"/>
      <c r="RQ24" s="246"/>
      <c r="RR24" s="246"/>
      <c r="RS24" s="246"/>
      <c r="RT24" s="246"/>
      <c r="RU24" s="246"/>
      <c r="RV24" s="246"/>
      <c r="RW24" s="246"/>
      <c r="RX24" s="246"/>
      <c r="RY24" s="246"/>
      <c r="RZ24" s="246"/>
      <c r="SA24" s="246"/>
      <c r="SB24" s="246"/>
      <c r="SC24" s="246"/>
      <c r="SD24" s="246"/>
      <c r="SE24" s="246"/>
      <c r="SF24" s="246"/>
      <c r="SG24" s="246"/>
      <c r="SH24" s="246"/>
      <c r="SI24" s="246"/>
      <c r="SJ24" s="246"/>
      <c r="SK24" s="246"/>
      <c r="SL24" s="246"/>
      <c r="SM24" s="246"/>
      <c r="SN24" s="246"/>
      <c r="SO24" s="246"/>
      <c r="SP24" s="246"/>
      <c r="SQ24" s="246"/>
      <c r="SR24" s="246"/>
      <c r="SS24" s="246"/>
      <c r="ST24" s="246"/>
      <c r="SU24" s="246"/>
      <c r="SV24" s="246"/>
      <c r="SW24" s="246"/>
      <c r="SX24" s="246"/>
      <c r="SY24" s="246"/>
      <c r="SZ24" s="246"/>
      <c r="TA24" s="246"/>
      <c r="TB24" s="246"/>
      <c r="TC24" s="246"/>
      <c r="TD24" s="246"/>
      <c r="TE24" s="246"/>
      <c r="TF24" s="246"/>
      <c r="TG24" s="246"/>
      <c r="TH24" s="246"/>
      <c r="TI24" s="246"/>
      <c r="TJ24" s="246"/>
      <c r="TK24" s="246"/>
      <c r="TL24" s="246"/>
      <c r="TM24" s="246"/>
      <c r="TN24" s="246"/>
      <c r="TO24" s="246"/>
      <c r="TP24" s="246"/>
      <c r="TQ24" s="246"/>
      <c r="TR24" s="246"/>
      <c r="TS24" s="246"/>
      <c r="TT24" s="246"/>
      <c r="TU24" s="246"/>
      <c r="TV24" s="246"/>
      <c r="TW24" s="246"/>
      <c r="TX24" s="246"/>
      <c r="TY24" s="246"/>
      <c r="TZ24" s="246"/>
      <c r="UA24" s="246"/>
      <c r="UB24" s="246"/>
      <c r="UC24" s="246"/>
      <c r="UD24" s="246"/>
      <c r="UE24" s="246"/>
      <c r="UF24" s="246"/>
      <c r="UG24" s="246"/>
      <c r="UH24" s="246"/>
      <c r="UI24" s="246"/>
      <c r="UJ24" s="246"/>
      <c r="UK24" s="246"/>
      <c r="UL24" s="246"/>
      <c r="UM24" s="246"/>
      <c r="UN24" s="246"/>
      <c r="UO24" s="246"/>
      <c r="UP24" s="246"/>
      <c r="UQ24" s="246"/>
      <c r="UR24" s="246"/>
      <c r="US24" s="246"/>
      <c r="UT24" s="246"/>
      <c r="UU24" s="246"/>
      <c r="UV24" s="246"/>
      <c r="UW24" s="246"/>
      <c r="UX24" s="246"/>
      <c r="UY24" s="246"/>
      <c r="UZ24" s="246"/>
      <c r="VA24" s="246"/>
      <c r="VB24" s="246"/>
      <c r="VC24" s="246"/>
      <c r="VD24" s="246"/>
      <c r="VE24" s="246"/>
      <c r="VF24" s="246"/>
      <c r="VG24" s="246"/>
      <c r="VH24" s="246"/>
      <c r="VI24" s="246"/>
      <c r="VJ24" s="246"/>
      <c r="VK24" s="246"/>
      <c r="VL24" s="246"/>
      <c r="VM24" s="246"/>
      <c r="VN24" s="246"/>
      <c r="VO24" s="246"/>
      <c r="VP24" s="246"/>
      <c r="VQ24" s="246"/>
      <c r="VR24" s="246"/>
      <c r="VS24" s="246"/>
      <c r="VT24" s="246"/>
      <c r="VU24" s="246"/>
      <c r="VV24" s="246"/>
      <c r="VW24" s="246"/>
      <c r="VX24" s="246"/>
      <c r="VY24" s="246"/>
      <c r="VZ24" s="246"/>
      <c r="WA24" s="246"/>
      <c r="WB24" s="246"/>
      <c r="WC24" s="246"/>
      <c r="WD24" s="246"/>
      <c r="WE24" s="246"/>
      <c r="WF24" s="246"/>
      <c r="WG24" s="246"/>
      <c r="WH24" s="246"/>
      <c r="WI24" s="246"/>
      <c r="WJ24" s="246"/>
      <c r="WK24" s="246"/>
      <c r="WL24" s="246"/>
      <c r="WM24" s="246"/>
      <c r="WN24" s="246"/>
      <c r="WO24" s="246"/>
      <c r="WP24" s="246"/>
      <c r="WQ24" s="246"/>
      <c r="WR24" s="246"/>
      <c r="WS24" s="246"/>
      <c r="WT24" s="246"/>
      <c r="WU24" s="246"/>
      <c r="WV24" s="246"/>
      <c r="WW24" s="246"/>
      <c r="WX24" s="246"/>
      <c r="WY24" s="246"/>
      <c r="WZ24" s="246"/>
      <c r="XA24" s="246"/>
      <c r="XB24" s="246"/>
      <c r="XC24" s="246"/>
      <c r="XD24" s="246"/>
      <c r="XE24" s="246"/>
      <c r="XF24" s="246"/>
      <c r="XG24" s="246"/>
      <c r="XH24" s="246"/>
      <c r="XI24" s="246"/>
      <c r="XJ24" s="246"/>
      <c r="XK24" s="246"/>
      <c r="XL24" s="246"/>
      <c r="XM24" s="246"/>
      <c r="XN24" s="246"/>
      <c r="XO24" s="246"/>
      <c r="XP24" s="246"/>
      <c r="XQ24" s="246"/>
      <c r="XR24" s="246"/>
      <c r="XS24" s="246"/>
      <c r="XT24" s="246"/>
      <c r="XU24" s="246"/>
      <c r="XV24" s="246"/>
      <c r="XW24" s="246"/>
      <c r="XX24" s="246"/>
      <c r="XY24" s="246"/>
      <c r="XZ24" s="246"/>
      <c r="YA24" s="246"/>
      <c r="YB24" s="246"/>
      <c r="YC24" s="246"/>
      <c r="YD24" s="246"/>
      <c r="YE24" s="246"/>
      <c r="YF24" s="246"/>
      <c r="YG24" s="246"/>
      <c r="YH24" s="246"/>
      <c r="YI24" s="246"/>
      <c r="YJ24" s="246"/>
      <c r="YK24" s="246"/>
      <c r="YL24" s="246"/>
      <c r="YM24" s="246"/>
      <c r="YN24" s="246"/>
      <c r="YO24" s="246"/>
      <c r="YP24" s="246"/>
      <c r="YQ24" s="246"/>
      <c r="YR24" s="246"/>
      <c r="YS24" s="246"/>
      <c r="YT24" s="246"/>
      <c r="YU24" s="246"/>
      <c r="YV24" s="246"/>
      <c r="YW24" s="246"/>
      <c r="YX24" s="246"/>
      <c r="YY24" s="246"/>
      <c r="YZ24" s="246"/>
      <c r="ZA24" s="246"/>
      <c r="ZB24" s="246"/>
      <c r="ZC24" s="246"/>
      <c r="ZD24" s="246"/>
      <c r="ZE24" s="246"/>
      <c r="ZF24" s="246"/>
      <c r="ZG24" s="246"/>
      <c r="ZH24" s="246"/>
      <c r="ZI24" s="246"/>
      <c r="ZJ24" s="246"/>
      <c r="ZK24" s="246"/>
      <c r="ZL24" s="246"/>
      <c r="ZM24" s="246"/>
      <c r="ZN24" s="246"/>
      <c r="ZO24" s="246"/>
      <c r="ZP24" s="246"/>
      <c r="ZQ24" s="246"/>
      <c r="ZR24" s="246"/>
      <c r="ZS24" s="246"/>
      <c r="ZT24" s="246"/>
      <c r="ZU24" s="246"/>
      <c r="ZV24" s="246"/>
      <c r="ZW24" s="246"/>
      <c r="ZX24" s="246"/>
      <c r="ZY24" s="246"/>
      <c r="ZZ24" s="246"/>
      <c r="AAA24" s="246"/>
      <c r="AAB24" s="246"/>
      <c r="AAC24" s="246"/>
      <c r="AAD24" s="246"/>
      <c r="AAE24" s="246"/>
      <c r="AAF24" s="246"/>
      <c r="AAG24" s="246"/>
      <c r="AAH24" s="246"/>
      <c r="AAI24" s="246"/>
      <c r="AAJ24" s="246"/>
      <c r="AAK24" s="246"/>
      <c r="AAL24" s="246"/>
      <c r="AAM24" s="246"/>
      <c r="AAN24" s="246"/>
      <c r="AAO24" s="246"/>
      <c r="AAP24" s="246"/>
      <c r="AAQ24" s="246"/>
      <c r="AAR24" s="246"/>
      <c r="AAS24" s="246"/>
      <c r="AAT24" s="246"/>
      <c r="AAU24" s="246"/>
      <c r="AAV24" s="246"/>
      <c r="AAW24" s="246"/>
      <c r="AAX24" s="246"/>
      <c r="AAY24" s="246"/>
      <c r="AAZ24" s="246"/>
      <c r="ABA24" s="246"/>
      <c r="ABB24" s="246"/>
      <c r="ABC24" s="246"/>
      <c r="ABD24" s="246"/>
      <c r="ABE24" s="246"/>
      <c r="ABF24" s="246"/>
      <c r="ABG24" s="246"/>
      <c r="ABH24" s="246"/>
      <c r="ABI24" s="246"/>
      <c r="ABJ24" s="246"/>
      <c r="ABK24" s="246"/>
      <c r="ABL24" s="246"/>
      <c r="ABM24" s="246"/>
      <c r="ABN24" s="246"/>
      <c r="ABO24" s="246"/>
      <c r="ABP24" s="246"/>
      <c r="ABQ24" s="246"/>
      <c r="ABR24" s="246"/>
      <c r="ABS24" s="246"/>
      <c r="ABT24" s="246"/>
      <c r="ABU24" s="246"/>
      <c r="ABV24" s="246"/>
      <c r="ABW24" s="246"/>
      <c r="ABX24" s="246"/>
      <c r="ABY24" s="246"/>
      <c r="ABZ24" s="246"/>
      <c r="ACA24" s="246"/>
      <c r="ACB24" s="246"/>
      <c r="ACC24" s="246"/>
      <c r="ACD24" s="246"/>
      <c r="ACE24" s="246"/>
      <c r="ACF24" s="246"/>
      <c r="ACG24" s="246"/>
      <c r="ACH24" s="246"/>
      <c r="ACI24" s="246"/>
      <c r="ACJ24" s="246"/>
      <c r="ACK24" s="246"/>
      <c r="ACL24" s="246"/>
      <c r="ACM24" s="246"/>
      <c r="ACN24" s="246"/>
      <c r="ACO24" s="246"/>
      <c r="ACP24" s="246"/>
      <c r="ACQ24" s="246"/>
      <c r="ACR24" s="246"/>
      <c r="ACS24" s="246"/>
      <c r="ACT24" s="246"/>
      <c r="ACU24" s="246"/>
      <c r="ACV24" s="246"/>
      <c r="ACW24" s="246"/>
      <c r="ACX24" s="246"/>
      <c r="ACY24" s="246"/>
      <c r="ACZ24" s="246"/>
      <c r="ADA24" s="246"/>
      <c r="ADB24" s="246"/>
      <c r="ADC24" s="246"/>
      <c r="ADD24" s="246"/>
      <c r="ADE24" s="246"/>
      <c r="ADF24" s="246"/>
      <c r="ADG24" s="246"/>
      <c r="ADH24" s="246"/>
      <c r="ADI24" s="246"/>
      <c r="ADJ24" s="246"/>
      <c r="ADK24" s="246"/>
      <c r="ADL24" s="246"/>
      <c r="ADM24" s="246"/>
      <c r="ADN24" s="246"/>
      <c r="ADO24" s="246"/>
      <c r="ADP24" s="246"/>
      <c r="ADQ24" s="246"/>
      <c r="ADR24" s="246"/>
      <c r="ADS24" s="246"/>
      <c r="ADT24" s="246"/>
      <c r="ADU24" s="246"/>
      <c r="ADV24" s="246"/>
      <c r="ADW24" s="246"/>
      <c r="ADX24" s="246"/>
      <c r="ADY24" s="246"/>
      <c r="ADZ24" s="246"/>
      <c r="AEA24" s="246"/>
      <c r="AEB24" s="246"/>
      <c r="AEC24" s="246"/>
      <c r="AED24" s="246"/>
      <c r="AEE24" s="246"/>
      <c r="AEF24" s="246"/>
      <c r="AEG24" s="246"/>
      <c r="AEH24" s="246"/>
      <c r="AEI24" s="246"/>
      <c r="AEJ24" s="246"/>
      <c r="AEK24" s="246"/>
      <c r="AEL24" s="246"/>
      <c r="AEM24" s="246"/>
      <c r="AEN24" s="246"/>
      <c r="AEO24" s="246"/>
      <c r="AEP24" s="246"/>
      <c r="AEQ24" s="246"/>
      <c r="AER24" s="246"/>
      <c r="AES24" s="246"/>
      <c r="AET24" s="246"/>
      <c r="AEU24" s="246"/>
      <c r="AEV24" s="246"/>
      <c r="AEW24" s="246"/>
      <c r="AEX24" s="246"/>
      <c r="AEY24" s="246"/>
      <c r="AEZ24" s="246"/>
      <c r="AFA24" s="246"/>
      <c r="AFB24" s="246"/>
      <c r="AFC24" s="246"/>
      <c r="AFD24" s="246"/>
      <c r="AFE24" s="246"/>
      <c r="AFF24" s="246"/>
      <c r="AFG24" s="246"/>
      <c r="AFH24" s="246"/>
      <c r="AFI24" s="246"/>
      <c r="AFJ24" s="246"/>
      <c r="AFK24" s="246"/>
      <c r="AFL24" s="246"/>
      <c r="AFM24" s="246"/>
      <c r="AFN24" s="246"/>
      <c r="AFO24" s="246"/>
      <c r="AFP24" s="246"/>
      <c r="AFQ24" s="246"/>
      <c r="AFR24" s="246"/>
      <c r="AFS24" s="246"/>
      <c r="AFT24" s="246"/>
      <c r="AFU24" s="246"/>
      <c r="AFV24" s="246"/>
      <c r="AFW24" s="246"/>
      <c r="AFX24" s="246"/>
      <c r="AFY24" s="246"/>
      <c r="AFZ24" s="246"/>
      <c r="AGA24" s="246"/>
      <c r="AGB24" s="246"/>
      <c r="AGC24" s="246"/>
      <c r="AGD24" s="246"/>
      <c r="AGE24" s="246"/>
      <c r="AGF24" s="246"/>
      <c r="AGG24" s="246"/>
      <c r="AGH24" s="246"/>
      <c r="AGI24" s="246"/>
      <c r="AGJ24" s="246"/>
      <c r="AGK24" s="246"/>
      <c r="AGL24" s="246"/>
      <c r="AGM24" s="246"/>
      <c r="AGN24" s="246"/>
      <c r="AGO24" s="246"/>
      <c r="AGP24" s="246"/>
      <c r="AGQ24" s="246"/>
      <c r="AGR24" s="246"/>
      <c r="AGS24" s="246"/>
      <c r="AGT24" s="246"/>
      <c r="AGU24" s="246"/>
      <c r="AGV24" s="246"/>
      <c r="AGW24" s="246"/>
      <c r="AGX24" s="246"/>
      <c r="AGY24" s="246"/>
      <c r="AGZ24" s="246"/>
      <c r="AHA24" s="246"/>
      <c r="AHB24" s="246"/>
      <c r="AHC24" s="246"/>
      <c r="AHD24" s="246"/>
      <c r="AHE24" s="246"/>
      <c r="AHF24" s="246"/>
      <c r="AHG24" s="246"/>
      <c r="AHH24" s="246"/>
      <c r="AHI24" s="246"/>
      <c r="AHJ24" s="246"/>
      <c r="AHK24" s="246"/>
      <c r="AHL24" s="246"/>
      <c r="AHM24" s="246"/>
      <c r="AHN24" s="246"/>
      <c r="AHO24" s="246"/>
      <c r="AHP24" s="246"/>
      <c r="AHQ24" s="246"/>
      <c r="AHR24" s="246"/>
      <c r="AHS24" s="246"/>
      <c r="AHT24" s="246"/>
      <c r="AHU24" s="246"/>
      <c r="AHV24" s="246"/>
      <c r="AHW24" s="246"/>
      <c r="AHX24" s="246"/>
      <c r="AHY24" s="246"/>
      <c r="AHZ24" s="246"/>
      <c r="AIA24" s="246"/>
      <c r="AIB24" s="246"/>
      <c r="AIC24" s="246"/>
      <c r="AID24" s="246"/>
      <c r="AIE24" s="246"/>
      <c r="AIF24" s="246"/>
      <c r="AIG24" s="246"/>
      <c r="AIH24" s="246"/>
      <c r="AII24" s="246"/>
      <c r="AIJ24" s="246"/>
      <c r="AIK24" s="246"/>
      <c r="AIL24" s="246"/>
      <c r="AIM24" s="246"/>
      <c r="AIN24" s="246"/>
      <c r="AIO24" s="246"/>
      <c r="AIP24" s="246"/>
      <c r="AIQ24" s="246"/>
      <c r="AIR24" s="246"/>
      <c r="AIS24" s="246"/>
      <c r="AIT24" s="246"/>
      <c r="AIU24" s="246"/>
      <c r="AIV24" s="246"/>
      <c r="AIW24" s="246"/>
      <c r="AIX24" s="246"/>
      <c r="AIY24" s="246"/>
      <c r="AIZ24" s="246"/>
      <c r="AJA24" s="246"/>
      <c r="AJB24" s="246"/>
      <c r="AJC24" s="246"/>
      <c r="AJD24" s="246"/>
      <c r="AJE24" s="246"/>
      <c r="AJF24" s="246"/>
      <c r="AJG24" s="246"/>
      <c r="AJH24" s="246"/>
      <c r="AJI24" s="246"/>
      <c r="AJJ24" s="246"/>
      <c r="AJK24" s="246"/>
      <c r="AJL24" s="246"/>
      <c r="AJM24" s="246"/>
      <c r="AJN24" s="246"/>
      <c r="AJO24" s="246"/>
      <c r="AJP24" s="246"/>
      <c r="AJQ24" s="246"/>
      <c r="AJR24" s="246"/>
      <c r="AJS24" s="246"/>
      <c r="AJT24" s="246"/>
      <c r="AJU24" s="246"/>
      <c r="AJV24" s="246"/>
      <c r="AJW24" s="246"/>
      <c r="AJX24" s="246"/>
      <c r="AJY24" s="246"/>
      <c r="AJZ24" s="246"/>
      <c r="AKA24" s="246"/>
      <c r="AKB24" s="246"/>
      <c r="AKC24" s="246"/>
      <c r="AKD24" s="246"/>
      <c r="AKE24" s="246"/>
      <c r="AKF24" s="246"/>
      <c r="AKG24" s="246"/>
      <c r="AKH24" s="246"/>
      <c r="AKI24" s="246"/>
      <c r="AKJ24" s="246"/>
      <c r="AKK24" s="246"/>
      <c r="AKL24" s="246"/>
      <c r="AKM24" s="246"/>
      <c r="AKN24" s="246"/>
      <c r="AKO24" s="246"/>
      <c r="AKP24" s="246"/>
      <c r="AKQ24" s="246"/>
      <c r="AKR24" s="246"/>
      <c r="AKS24" s="246"/>
      <c r="AKT24" s="246"/>
      <c r="AKU24" s="246"/>
      <c r="AKV24" s="246"/>
      <c r="AKW24" s="246"/>
      <c r="AKX24" s="246"/>
      <c r="AKY24" s="246"/>
      <c r="AKZ24" s="246"/>
      <c r="ALA24" s="246"/>
      <c r="ALB24" s="246"/>
      <c r="ALC24" s="246"/>
      <c r="ALD24" s="246"/>
      <c r="ALE24" s="246"/>
      <c r="ALF24" s="246"/>
      <c r="ALG24" s="246"/>
      <c r="ALH24" s="246"/>
      <c r="ALI24" s="246"/>
      <c r="ALJ24" s="246"/>
      <c r="ALK24" s="246"/>
      <c r="ALL24" s="246"/>
      <c r="ALM24" s="246"/>
      <c r="ALN24" s="246"/>
      <c r="ALO24" s="246"/>
      <c r="ALP24" s="246"/>
      <c r="ALQ24" s="246"/>
      <c r="ALR24" s="246"/>
      <c r="ALS24" s="246"/>
      <c r="ALT24" s="246"/>
      <c r="ALU24" s="246"/>
      <c r="ALV24" s="246"/>
      <c r="ALW24" s="246"/>
      <c r="ALX24" s="246"/>
      <c r="ALY24" s="246"/>
      <c r="ALZ24" s="246"/>
      <c r="AMA24" s="246"/>
      <c r="AMB24" s="246"/>
      <c r="AMC24" s="246"/>
      <c r="AMD24" s="246"/>
      <c r="AME24" s="246"/>
      <c r="AMF24" s="246"/>
      <c r="AMG24" s="246"/>
      <c r="AMH24" s="246"/>
      <c r="AMI24" s="246"/>
      <c r="AMJ24" s="246"/>
      <c r="AMK24" s="246"/>
      <c r="AML24" s="246"/>
      <c r="AMM24" s="246"/>
      <c r="AMN24" s="246"/>
      <c r="AMO24" s="246"/>
      <c r="AMP24" s="246"/>
      <c r="AMQ24" s="246"/>
      <c r="AMR24" s="246"/>
      <c r="AMS24" s="246"/>
      <c r="AMT24" s="246"/>
      <c r="AMU24" s="246"/>
      <c r="AMV24" s="246"/>
      <c r="AMW24" s="246"/>
      <c r="AMX24" s="246"/>
      <c r="AMY24" s="246"/>
      <c r="AMZ24" s="246"/>
      <c r="ANA24" s="246"/>
      <c r="ANB24" s="246"/>
      <c r="ANC24" s="246"/>
      <c r="AND24" s="246"/>
      <c r="ANE24" s="246"/>
      <c r="ANF24" s="246"/>
      <c r="ANG24" s="246"/>
      <c r="ANH24" s="246"/>
      <c r="ANI24" s="246"/>
      <c r="ANJ24" s="246"/>
      <c r="ANK24" s="246"/>
      <c r="ANL24" s="246"/>
      <c r="ANM24" s="246"/>
      <c r="ANN24" s="246"/>
      <c r="ANO24" s="246"/>
      <c r="ANP24" s="246"/>
      <c r="ANQ24" s="246"/>
      <c r="ANR24" s="246"/>
      <c r="ANS24" s="246"/>
      <c r="ANT24" s="246"/>
      <c r="ANU24" s="246"/>
      <c r="ANV24" s="246"/>
      <c r="ANW24" s="246"/>
      <c r="ANX24" s="246"/>
      <c r="ANY24" s="246"/>
      <c r="ANZ24" s="246"/>
      <c r="AOA24" s="246"/>
      <c r="AOB24" s="246"/>
      <c r="AOC24" s="246"/>
      <c r="AOD24" s="246"/>
      <c r="AOE24" s="246"/>
      <c r="AOF24" s="246"/>
      <c r="AOG24" s="246"/>
      <c r="AOH24" s="246"/>
      <c r="AOI24" s="246"/>
      <c r="AOJ24" s="246"/>
      <c r="AOK24" s="246"/>
      <c r="AOL24" s="246"/>
      <c r="AOM24" s="246"/>
      <c r="AON24" s="246"/>
      <c r="AOO24" s="246"/>
      <c r="AOP24" s="246"/>
      <c r="AOQ24" s="246"/>
      <c r="AOR24" s="246"/>
      <c r="AOS24" s="246"/>
      <c r="AOT24" s="246"/>
      <c r="AOU24" s="246"/>
      <c r="AOV24" s="246"/>
      <c r="AOW24" s="246"/>
      <c r="AOX24" s="246"/>
      <c r="AOY24" s="246"/>
      <c r="AOZ24" s="246"/>
      <c r="APA24" s="246"/>
      <c r="APB24" s="246"/>
      <c r="APC24" s="246"/>
      <c r="APD24" s="246"/>
      <c r="APE24" s="246"/>
      <c r="APF24" s="246"/>
      <c r="APG24" s="246"/>
      <c r="APH24" s="246"/>
      <c r="API24" s="246"/>
      <c r="APJ24" s="246"/>
      <c r="APK24" s="246"/>
      <c r="APL24" s="246"/>
      <c r="APM24" s="246"/>
      <c r="APN24" s="246"/>
      <c r="APO24" s="246"/>
      <c r="APP24" s="246"/>
      <c r="APQ24" s="246"/>
      <c r="APR24" s="246"/>
      <c r="APS24" s="246"/>
      <c r="APT24" s="246"/>
      <c r="APU24" s="246"/>
      <c r="APV24" s="246"/>
      <c r="APW24" s="246"/>
      <c r="APX24" s="246"/>
      <c r="APY24" s="246"/>
      <c r="APZ24" s="246"/>
      <c r="AQA24" s="246"/>
      <c r="AQB24" s="246"/>
      <c r="AQC24" s="246"/>
      <c r="AQD24" s="246"/>
      <c r="AQE24" s="246"/>
      <c r="AQF24" s="246"/>
      <c r="AQG24" s="246"/>
      <c r="AQH24" s="246"/>
      <c r="AQI24" s="246"/>
      <c r="AQJ24" s="246"/>
      <c r="AQK24" s="246"/>
      <c r="AQL24" s="246"/>
      <c r="AQM24" s="246"/>
      <c r="AQN24" s="246"/>
      <c r="AQO24" s="246"/>
      <c r="AQP24" s="246"/>
      <c r="AQQ24" s="246"/>
      <c r="AQR24" s="246"/>
      <c r="AQS24" s="246"/>
      <c r="AQT24" s="246"/>
      <c r="AQU24" s="246"/>
      <c r="AQV24" s="246"/>
      <c r="AQW24" s="246"/>
      <c r="AQX24" s="246"/>
      <c r="AQY24" s="246"/>
      <c r="AQZ24" s="246"/>
      <c r="ARA24" s="246"/>
      <c r="ARB24" s="246"/>
      <c r="ARC24" s="246"/>
      <c r="ARD24" s="246"/>
      <c r="ARE24" s="246"/>
      <c r="ARF24" s="246"/>
      <c r="ARG24" s="246"/>
      <c r="ARH24" s="246"/>
      <c r="ARI24" s="246"/>
      <c r="ARJ24" s="246"/>
      <c r="ARK24" s="246"/>
      <c r="ARL24" s="246"/>
      <c r="ARM24" s="246"/>
      <c r="ARN24" s="246"/>
      <c r="ARO24" s="246"/>
      <c r="ARP24" s="246"/>
      <c r="ARQ24" s="246"/>
      <c r="ARR24" s="246"/>
      <c r="ARS24" s="246"/>
      <c r="ART24" s="246"/>
      <c r="ARU24" s="246"/>
      <c r="ARV24" s="246"/>
      <c r="ARW24" s="246"/>
      <c r="ARX24" s="246"/>
      <c r="ARY24" s="246"/>
      <c r="ARZ24" s="246"/>
      <c r="ASA24" s="246"/>
      <c r="ASB24" s="246"/>
      <c r="ASC24" s="246"/>
      <c r="ASD24" s="246"/>
      <c r="ASE24" s="246"/>
      <c r="ASF24" s="246"/>
      <c r="ASG24" s="246"/>
      <c r="ASH24" s="246"/>
      <c r="ASI24" s="246"/>
      <c r="ASJ24" s="246"/>
      <c r="ASK24" s="246"/>
      <c r="ASL24" s="246"/>
      <c r="ASM24" s="246"/>
      <c r="ASN24" s="246"/>
      <c r="ASO24" s="246"/>
      <c r="ASP24" s="246"/>
      <c r="ASQ24" s="246"/>
      <c r="ASR24" s="246"/>
      <c r="ASS24" s="246"/>
      <c r="AST24" s="246"/>
      <c r="ASU24" s="246"/>
      <c r="ASV24" s="246"/>
      <c r="ASW24" s="246"/>
      <c r="ASX24" s="246"/>
      <c r="ASY24" s="246"/>
      <c r="ASZ24" s="246"/>
      <c r="ATA24" s="246"/>
      <c r="ATB24" s="246"/>
      <c r="ATC24" s="246"/>
      <c r="ATD24" s="246"/>
      <c r="ATE24" s="246"/>
      <c r="ATF24" s="246"/>
      <c r="ATG24" s="246"/>
      <c r="ATH24" s="246"/>
      <c r="ATI24" s="246"/>
      <c r="ATJ24" s="246"/>
      <c r="ATK24" s="246"/>
      <c r="ATL24" s="246"/>
      <c r="ATM24" s="246"/>
      <c r="ATN24" s="246"/>
      <c r="ATO24" s="246"/>
      <c r="ATP24" s="246"/>
      <c r="ATQ24" s="246"/>
      <c r="ATR24" s="246"/>
      <c r="ATS24" s="246"/>
      <c r="ATT24" s="246"/>
      <c r="ATU24" s="246"/>
      <c r="ATV24" s="246"/>
      <c r="ATW24" s="246"/>
      <c r="ATX24" s="246"/>
      <c r="ATY24" s="246"/>
      <c r="ATZ24" s="246"/>
      <c r="AUA24" s="246"/>
      <c r="AUB24" s="246"/>
      <c r="AUC24" s="246"/>
      <c r="AUD24" s="246"/>
      <c r="AUE24" s="246"/>
      <c r="AUF24" s="246"/>
      <c r="AUG24" s="246"/>
      <c r="AUH24" s="246"/>
      <c r="AUI24" s="246"/>
      <c r="AUJ24" s="246"/>
      <c r="AUK24" s="246"/>
      <c r="AUL24" s="246"/>
      <c r="AUM24" s="246"/>
      <c r="AUN24" s="246"/>
      <c r="AUO24" s="246"/>
      <c r="AUP24" s="246"/>
      <c r="AUQ24" s="246"/>
      <c r="AUR24" s="246"/>
      <c r="AUS24" s="246"/>
      <c r="AUT24" s="246"/>
      <c r="AUU24" s="246"/>
      <c r="AUV24" s="246"/>
      <c r="AUW24" s="246"/>
      <c r="AUX24" s="246"/>
      <c r="AUY24" s="246"/>
      <c r="AUZ24" s="246"/>
      <c r="AVA24" s="246"/>
      <c r="AVB24" s="246"/>
      <c r="AVC24" s="246"/>
      <c r="AVD24" s="246"/>
      <c r="AVE24" s="246"/>
      <c r="AVF24" s="246"/>
      <c r="AVG24" s="246"/>
      <c r="AVH24" s="246"/>
      <c r="AVI24" s="246"/>
      <c r="AVJ24" s="246"/>
      <c r="AVK24" s="246"/>
      <c r="AVL24" s="246"/>
      <c r="AVM24" s="246"/>
      <c r="AVN24" s="246"/>
      <c r="AVO24" s="246"/>
      <c r="AVP24" s="246"/>
      <c r="AVQ24" s="246"/>
      <c r="AVR24" s="246"/>
      <c r="AVS24" s="246"/>
      <c r="AVT24" s="246"/>
      <c r="AVU24" s="246"/>
      <c r="AVV24" s="246"/>
      <c r="AVW24" s="246"/>
      <c r="AVX24" s="246"/>
      <c r="AVY24" s="246"/>
      <c r="AVZ24" s="246"/>
      <c r="AWA24" s="246"/>
      <c r="AWB24" s="246"/>
      <c r="AWC24" s="246"/>
      <c r="AWD24" s="246"/>
      <c r="AWE24" s="246"/>
      <c r="AWF24" s="246"/>
      <c r="AWG24" s="246"/>
      <c r="AWH24" s="246"/>
      <c r="AWI24" s="246"/>
      <c r="AWJ24" s="246"/>
      <c r="AWK24" s="246"/>
      <c r="AWL24" s="246"/>
      <c r="AWM24" s="246"/>
      <c r="AWN24" s="246"/>
      <c r="AWO24" s="246"/>
      <c r="AWP24" s="246"/>
      <c r="AWQ24" s="246"/>
      <c r="AWR24" s="246"/>
      <c r="AWS24" s="246"/>
      <c r="AWT24" s="246"/>
      <c r="AWU24" s="246"/>
      <c r="AWV24" s="246"/>
      <c r="AWW24" s="246"/>
      <c r="AWX24" s="246"/>
      <c r="AWY24" s="246"/>
      <c r="AWZ24" s="246"/>
      <c r="AXA24" s="246"/>
      <c r="AXB24" s="246"/>
      <c r="AXC24" s="246"/>
      <c r="AXD24" s="246"/>
      <c r="AXE24" s="246"/>
      <c r="AXF24" s="246"/>
      <c r="AXG24" s="246"/>
      <c r="AXH24" s="246"/>
      <c r="AXI24" s="246"/>
      <c r="AXJ24" s="246"/>
      <c r="AXK24" s="246"/>
      <c r="AXL24" s="246"/>
      <c r="AXM24" s="246"/>
      <c r="AXN24" s="246"/>
      <c r="AXO24" s="246"/>
      <c r="AXP24" s="246"/>
      <c r="AXQ24" s="246"/>
      <c r="AXR24" s="246"/>
      <c r="AXS24" s="246"/>
      <c r="AXT24" s="246"/>
      <c r="AXU24" s="246"/>
      <c r="AXV24" s="246"/>
      <c r="AXW24" s="246"/>
      <c r="AXX24" s="246"/>
      <c r="AXY24" s="246"/>
      <c r="AXZ24" s="246"/>
      <c r="AYA24" s="246"/>
      <c r="AYB24" s="246"/>
      <c r="AYC24" s="246"/>
      <c r="AYD24" s="246"/>
      <c r="AYE24" s="246"/>
      <c r="AYF24" s="246"/>
      <c r="AYG24" s="246"/>
      <c r="AYH24" s="246"/>
      <c r="AYI24" s="246"/>
      <c r="AYJ24" s="246"/>
      <c r="AYK24" s="246"/>
      <c r="AYL24" s="246"/>
      <c r="AYM24" s="246"/>
      <c r="AYN24" s="246"/>
      <c r="AYO24" s="246"/>
      <c r="AYP24" s="246"/>
      <c r="AYQ24" s="246"/>
      <c r="AYR24" s="246"/>
      <c r="AYS24" s="246"/>
      <c r="AYT24" s="246"/>
      <c r="AYU24" s="246"/>
      <c r="AYV24" s="246"/>
      <c r="AYW24" s="246"/>
      <c r="AYX24" s="246"/>
      <c r="AYY24" s="246"/>
      <c r="AYZ24" s="246"/>
      <c r="AZA24" s="246"/>
      <c r="AZB24" s="246"/>
      <c r="AZC24" s="246"/>
      <c r="AZD24" s="246"/>
      <c r="AZE24" s="246"/>
      <c r="AZF24" s="246"/>
      <c r="AZG24" s="246"/>
      <c r="AZH24" s="246"/>
      <c r="AZI24" s="246"/>
      <c r="AZJ24" s="246"/>
      <c r="AZK24" s="246"/>
      <c r="AZL24" s="246"/>
      <c r="AZM24" s="246"/>
      <c r="AZN24" s="246"/>
      <c r="AZO24" s="246"/>
      <c r="AZP24" s="246"/>
      <c r="AZQ24" s="246"/>
      <c r="AZR24" s="246"/>
      <c r="AZS24" s="246"/>
      <c r="AZT24" s="246"/>
      <c r="AZU24" s="246"/>
      <c r="AZV24" s="246"/>
      <c r="AZW24" s="246"/>
      <c r="AZX24" s="246"/>
      <c r="AZY24" s="246"/>
      <c r="AZZ24" s="246"/>
      <c r="BAA24" s="246"/>
      <c r="BAB24" s="246"/>
      <c r="BAC24" s="246"/>
      <c r="BAD24" s="246"/>
      <c r="BAE24" s="246"/>
      <c r="BAF24" s="246"/>
      <c r="BAG24" s="246"/>
      <c r="BAH24" s="246"/>
      <c r="BAI24" s="246"/>
      <c r="BAJ24" s="246"/>
      <c r="BAK24" s="246"/>
      <c r="BAL24" s="246"/>
      <c r="BAM24" s="246"/>
      <c r="BAN24" s="246"/>
      <c r="BAO24" s="246"/>
      <c r="BAP24" s="246"/>
      <c r="BAQ24" s="246"/>
      <c r="BAR24" s="246"/>
      <c r="BAS24" s="246"/>
      <c r="BAT24" s="246"/>
      <c r="BAU24" s="246"/>
      <c r="BAV24" s="246"/>
      <c r="BAW24" s="246"/>
      <c r="BAX24" s="246"/>
      <c r="BAY24" s="246"/>
      <c r="BAZ24" s="246"/>
      <c r="BBA24" s="246"/>
      <c r="BBB24" s="246"/>
      <c r="BBC24" s="246"/>
      <c r="BBD24" s="246"/>
      <c r="BBE24" s="246"/>
      <c r="BBF24" s="246"/>
      <c r="BBG24" s="246"/>
      <c r="BBH24" s="246"/>
      <c r="BBI24" s="246"/>
      <c r="BBJ24" s="246"/>
      <c r="BBK24" s="246"/>
      <c r="BBL24" s="246"/>
      <c r="BBM24" s="246"/>
      <c r="BBN24" s="246"/>
      <c r="BBO24" s="246"/>
      <c r="BBP24" s="246"/>
      <c r="BBQ24" s="246"/>
      <c r="BBR24" s="246"/>
      <c r="BBS24" s="246"/>
      <c r="BBT24" s="246"/>
      <c r="BBU24" s="246"/>
      <c r="BBV24" s="246"/>
      <c r="BBW24" s="246"/>
      <c r="BBX24" s="246"/>
      <c r="BBY24" s="246"/>
      <c r="BBZ24" s="246"/>
      <c r="BCA24" s="246"/>
      <c r="BCB24" s="246"/>
      <c r="BCC24" s="246"/>
      <c r="BCD24" s="246"/>
      <c r="BCE24" s="246"/>
      <c r="BCF24" s="246"/>
      <c r="BCG24" s="246"/>
      <c r="BCH24" s="246"/>
      <c r="BCI24" s="246"/>
      <c r="BCJ24" s="246"/>
      <c r="BCK24" s="246"/>
      <c r="BCL24" s="246"/>
      <c r="BCM24" s="246"/>
      <c r="BCN24" s="246"/>
      <c r="BCO24" s="246"/>
      <c r="BCP24" s="246"/>
      <c r="BCQ24" s="246"/>
      <c r="BCR24" s="246"/>
      <c r="BCS24" s="246"/>
      <c r="BCT24" s="246"/>
      <c r="BCU24" s="246"/>
      <c r="BCV24" s="246"/>
      <c r="BCW24" s="246"/>
      <c r="BCX24" s="246"/>
      <c r="BCY24" s="246"/>
      <c r="BCZ24" s="246"/>
      <c r="BDA24" s="246"/>
      <c r="BDB24" s="246"/>
      <c r="BDC24" s="246"/>
      <c r="BDD24" s="246"/>
      <c r="BDE24" s="246"/>
      <c r="BDF24" s="246"/>
      <c r="BDG24" s="246"/>
      <c r="BDH24" s="246"/>
      <c r="BDI24" s="246"/>
      <c r="BDJ24" s="246"/>
      <c r="BDK24" s="246"/>
      <c r="BDL24" s="246"/>
      <c r="BDM24" s="246"/>
      <c r="BDN24" s="246"/>
      <c r="BDO24" s="246"/>
      <c r="BDP24" s="246"/>
      <c r="BDQ24" s="246"/>
      <c r="BDR24" s="246"/>
      <c r="BDS24" s="246"/>
      <c r="BDT24" s="246"/>
      <c r="BDU24" s="246"/>
      <c r="BDV24" s="246"/>
      <c r="BDW24" s="246"/>
      <c r="BDX24" s="246"/>
      <c r="BDY24" s="246"/>
      <c r="BDZ24" s="246"/>
      <c r="BEA24" s="246"/>
      <c r="BEB24" s="246"/>
      <c r="BEC24" s="246"/>
      <c r="BED24" s="246"/>
      <c r="BEE24" s="246"/>
      <c r="BEF24" s="246"/>
      <c r="BEG24" s="246"/>
      <c r="BEH24" s="246"/>
      <c r="BEI24" s="246"/>
      <c r="BEJ24" s="246"/>
      <c r="BEK24" s="246"/>
      <c r="BEL24" s="246"/>
      <c r="BEM24" s="246"/>
      <c r="BEN24" s="246"/>
      <c r="BEO24" s="246"/>
      <c r="BEP24" s="246"/>
      <c r="BEQ24" s="246"/>
      <c r="BER24" s="246"/>
      <c r="BES24" s="246"/>
      <c r="BET24" s="246"/>
      <c r="BEU24" s="246"/>
      <c r="BEV24" s="246"/>
      <c r="BEW24" s="246"/>
      <c r="BEX24" s="246"/>
      <c r="BEY24" s="246"/>
      <c r="BEZ24" s="246"/>
      <c r="BFA24" s="246"/>
      <c r="BFB24" s="246"/>
      <c r="BFC24" s="246"/>
      <c r="BFD24" s="246"/>
      <c r="BFE24" s="246"/>
      <c r="BFF24" s="246"/>
      <c r="BFG24" s="246"/>
      <c r="BFH24" s="246"/>
      <c r="BFI24" s="246"/>
      <c r="BFJ24" s="246"/>
      <c r="BFK24" s="246"/>
      <c r="BFL24" s="246"/>
      <c r="BFM24" s="246"/>
      <c r="BFN24" s="246"/>
      <c r="BFO24" s="246"/>
      <c r="BFP24" s="246"/>
      <c r="BFQ24" s="246"/>
      <c r="BFR24" s="246"/>
      <c r="BFS24" s="246"/>
      <c r="BFT24" s="246"/>
      <c r="BFU24" s="246"/>
      <c r="BFV24" s="246"/>
      <c r="BFW24" s="246"/>
      <c r="BFX24" s="246"/>
      <c r="BFY24" s="246"/>
      <c r="BFZ24" s="246"/>
      <c r="BGA24" s="246"/>
      <c r="BGB24" s="246"/>
      <c r="BGC24" s="246"/>
      <c r="BGD24" s="246"/>
      <c r="BGE24" s="246"/>
      <c r="BGF24" s="246"/>
      <c r="BGG24" s="246"/>
      <c r="BGH24" s="246"/>
      <c r="BGI24" s="246"/>
      <c r="BGJ24" s="246"/>
      <c r="BGK24" s="246"/>
      <c r="BGL24" s="246"/>
      <c r="BGM24" s="246"/>
      <c r="BGN24" s="246"/>
      <c r="BGO24" s="246"/>
      <c r="BGP24" s="246"/>
      <c r="BGQ24" s="246"/>
      <c r="BGR24" s="246"/>
      <c r="BGS24" s="246"/>
      <c r="BGT24" s="246"/>
      <c r="BGU24" s="246"/>
      <c r="BGV24" s="246"/>
      <c r="BGW24" s="246"/>
      <c r="BGX24" s="246"/>
      <c r="BGY24" s="246"/>
      <c r="BGZ24" s="246"/>
      <c r="BHA24" s="246"/>
      <c r="BHB24" s="246"/>
      <c r="BHC24" s="246"/>
      <c r="BHD24" s="246"/>
      <c r="BHE24" s="246"/>
      <c r="BHF24" s="246"/>
      <c r="BHG24" s="246"/>
      <c r="BHH24" s="246"/>
      <c r="BHI24" s="246"/>
      <c r="BHJ24" s="246"/>
      <c r="BHK24" s="246"/>
      <c r="BHL24" s="246"/>
      <c r="BHM24" s="246"/>
      <c r="BHN24" s="246"/>
      <c r="BHO24" s="246"/>
      <c r="BHP24" s="246"/>
      <c r="BHQ24" s="246"/>
      <c r="BHR24" s="246"/>
      <c r="BHS24" s="246"/>
      <c r="BHT24" s="246"/>
      <c r="BHU24" s="246"/>
      <c r="BHV24" s="246"/>
      <c r="BHW24" s="246"/>
      <c r="BHX24" s="246"/>
      <c r="BHY24" s="246"/>
      <c r="BHZ24" s="246"/>
      <c r="BIA24" s="246"/>
      <c r="BIB24" s="246"/>
      <c r="BIC24" s="246"/>
      <c r="BID24" s="246"/>
      <c r="BIE24" s="246"/>
      <c r="BIF24" s="246"/>
      <c r="BIG24" s="246"/>
      <c r="BIH24" s="246"/>
      <c r="BII24" s="246"/>
      <c r="BIJ24" s="246"/>
      <c r="BIK24" s="246"/>
      <c r="BIL24" s="246"/>
      <c r="BIM24" s="246"/>
      <c r="BIN24" s="246"/>
      <c r="BIO24" s="246"/>
      <c r="BIP24" s="246"/>
      <c r="BIQ24" s="246"/>
      <c r="BIR24" s="246"/>
      <c r="BIS24" s="246"/>
      <c r="BIT24" s="246"/>
      <c r="BIU24" s="246"/>
      <c r="BIV24" s="246"/>
      <c r="BIW24" s="246"/>
      <c r="BIX24" s="246"/>
      <c r="BIY24" s="246"/>
      <c r="BIZ24" s="246"/>
      <c r="BJA24" s="246"/>
      <c r="BJB24" s="246"/>
      <c r="BJC24" s="246"/>
      <c r="BJD24" s="246"/>
      <c r="BJE24" s="246"/>
      <c r="BJF24" s="246"/>
      <c r="BJG24" s="246"/>
      <c r="BJH24" s="246"/>
      <c r="BJI24" s="246"/>
      <c r="BJJ24" s="246"/>
      <c r="BJK24" s="246"/>
      <c r="BJL24" s="246"/>
      <c r="BJM24" s="246"/>
      <c r="BJN24" s="246"/>
      <c r="BJO24" s="246"/>
      <c r="BJP24" s="246"/>
      <c r="BJQ24" s="246"/>
      <c r="BJR24" s="246"/>
      <c r="BJS24" s="246"/>
      <c r="BJT24" s="246"/>
      <c r="BJU24" s="246"/>
      <c r="BJV24" s="246"/>
      <c r="BJW24" s="246"/>
      <c r="BJX24" s="246"/>
      <c r="BJY24" s="246"/>
      <c r="BJZ24" s="246"/>
      <c r="BKA24" s="246"/>
      <c r="BKB24" s="246"/>
      <c r="BKC24" s="246"/>
      <c r="BKD24" s="246"/>
      <c r="BKE24" s="246"/>
      <c r="BKF24" s="246"/>
      <c r="BKG24" s="246"/>
      <c r="BKH24" s="246"/>
      <c r="BKI24" s="246"/>
      <c r="BKJ24" s="246"/>
      <c r="BKK24" s="246"/>
      <c r="BKL24" s="246"/>
      <c r="BKM24" s="246"/>
      <c r="BKN24" s="246"/>
      <c r="BKO24" s="246"/>
      <c r="BKP24" s="246"/>
      <c r="BKQ24" s="246"/>
      <c r="BKR24" s="246"/>
      <c r="BKS24" s="246"/>
      <c r="BKT24" s="246"/>
      <c r="BKU24" s="246"/>
      <c r="BKV24" s="246"/>
      <c r="BKW24" s="246"/>
      <c r="BKX24" s="246"/>
      <c r="BKY24" s="246"/>
      <c r="BKZ24" s="246"/>
      <c r="BLA24" s="246"/>
      <c r="BLB24" s="246"/>
      <c r="BLC24" s="246"/>
      <c r="BLD24" s="246"/>
      <c r="BLE24" s="246"/>
      <c r="BLF24" s="246"/>
      <c r="BLG24" s="246"/>
      <c r="BLH24" s="246"/>
      <c r="BLI24" s="246"/>
      <c r="BLJ24" s="246"/>
      <c r="BLK24" s="246"/>
      <c r="BLL24" s="246"/>
      <c r="BLM24" s="246"/>
      <c r="BLN24" s="246"/>
      <c r="BLO24" s="246"/>
      <c r="BLP24" s="246"/>
      <c r="BLQ24" s="246"/>
      <c r="BLR24" s="246"/>
      <c r="BLS24" s="246"/>
      <c r="BLT24" s="246"/>
      <c r="BLU24" s="246"/>
      <c r="BLV24" s="246"/>
      <c r="BLW24" s="246"/>
      <c r="BLX24" s="246"/>
      <c r="BLY24" s="246"/>
      <c r="BLZ24" s="246"/>
      <c r="BMA24" s="246"/>
      <c r="BMB24" s="246"/>
      <c r="BMC24" s="246"/>
      <c r="BMD24" s="246"/>
      <c r="BME24" s="246"/>
      <c r="BMF24" s="246"/>
      <c r="BMG24" s="246"/>
      <c r="BMH24" s="246"/>
      <c r="BMI24" s="246"/>
      <c r="BMJ24" s="246"/>
      <c r="BMK24" s="246"/>
      <c r="BML24" s="246"/>
      <c r="BMM24" s="246"/>
      <c r="BMN24" s="246"/>
      <c r="BMO24" s="246"/>
      <c r="BMP24" s="246"/>
      <c r="BMQ24" s="246"/>
      <c r="BMR24" s="246"/>
      <c r="BMS24" s="246"/>
      <c r="BMT24" s="246"/>
      <c r="BMU24" s="246"/>
      <c r="BMV24" s="246"/>
      <c r="BMW24" s="246"/>
      <c r="BMX24" s="246"/>
      <c r="BMY24" s="246"/>
      <c r="BMZ24" s="246"/>
      <c r="BNA24" s="246"/>
      <c r="BNB24" s="246"/>
      <c r="BNC24" s="246"/>
      <c r="BND24" s="246"/>
      <c r="BNE24" s="246"/>
      <c r="BNF24" s="246"/>
      <c r="BNG24" s="246"/>
      <c r="BNH24" s="246"/>
      <c r="BNI24" s="246"/>
      <c r="BNJ24" s="246"/>
      <c r="BNK24" s="246"/>
      <c r="BNL24" s="246"/>
      <c r="BNM24" s="246"/>
      <c r="BNN24" s="246"/>
      <c r="BNO24" s="246"/>
      <c r="BNP24" s="246"/>
      <c r="BNQ24" s="246"/>
      <c r="BNR24" s="246"/>
      <c r="BNS24" s="246"/>
      <c r="BNT24" s="246"/>
      <c r="BNU24" s="246"/>
      <c r="BNV24" s="246"/>
      <c r="BNW24" s="246"/>
      <c r="BNX24" s="246"/>
      <c r="BNY24" s="246"/>
      <c r="BNZ24" s="246"/>
      <c r="BOA24" s="246"/>
      <c r="BOB24" s="246"/>
      <c r="BOC24" s="246"/>
      <c r="BOD24" s="246"/>
      <c r="BOE24" s="246"/>
      <c r="BOF24" s="246"/>
      <c r="BOG24" s="246"/>
      <c r="BOH24" s="246"/>
      <c r="BOI24" s="246"/>
      <c r="BOJ24" s="246"/>
      <c r="BOK24" s="246"/>
      <c r="BOL24" s="246"/>
      <c r="BOM24" s="246"/>
      <c r="BON24" s="246"/>
      <c r="BOO24" s="246"/>
      <c r="BOP24" s="246"/>
      <c r="BOQ24" s="246"/>
      <c r="BOR24" s="246"/>
      <c r="BOS24" s="246"/>
      <c r="BOT24" s="246"/>
      <c r="BOU24" s="246"/>
      <c r="BOV24" s="246"/>
      <c r="BOW24" s="246"/>
      <c r="BOX24" s="246"/>
      <c r="BOY24" s="246"/>
      <c r="BOZ24" s="246"/>
      <c r="BPA24" s="246"/>
      <c r="BPB24" s="246"/>
      <c r="BPC24" s="246"/>
      <c r="BPD24" s="246"/>
      <c r="BPE24" s="246"/>
      <c r="BPF24" s="246"/>
      <c r="BPG24" s="246"/>
      <c r="BPH24" s="246"/>
      <c r="BPI24" s="246"/>
      <c r="BPJ24" s="246"/>
      <c r="BPK24" s="246"/>
      <c r="BPL24" s="246"/>
      <c r="BPM24" s="246"/>
      <c r="BPN24" s="246"/>
      <c r="BPO24" s="246"/>
      <c r="BPP24" s="246"/>
      <c r="BPQ24" s="246"/>
      <c r="BPR24" s="246"/>
      <c r="BPS24" s="246"/>
      <c r="BPT24" s="246"/>
      <c r="BPU24" s="246"/>
      <c r="BPV24" s="246"/>
      <c r="BPW24" s="246"/>
      <c r="BPX24" s="246"/>
      <c r="BPY24" s="246"/>
      <c r="BPZ24" s="246"/>
      <c r="BQA24" s="246"/>
      <c r="BQB24" s="246"/>
      <c r="BQC24" s="246"/>
      <c r="BQD24" s="246"/>
      <c r="BQE24" s="246"/>
      <c r="BQF24" s="246"/>
      <c r="BQG24" s="246"/>
      <c r="BQH24" s="246"/>
      <c r="BQI24" s="246"/>
      <c r="BQJ24" s="246"/>
      <c r="BQK24" s="246"/>
      <c r="BQL24" s="246"/>
      <c r="BQM24" s="246"/>
      <c r="BQN24" s="246"/>
      <c r="BQO24" s="246"/>
      <c r="BQP24" s="246"/>
      <c r="BQQ24" s="246"/>
      <c r="BQR24" s="246"/>
      <c r="BQS24" s="246"/>
      <c r="BQT24" s="246"/>
      <c r="BQU24" s="246"/>
      <c r="BQV24" s="246"/>
      <c r="BQW24" s="246"/>
      <c r="BQX24" s="246"/>
      <c r="BQY24" s="246"/>
      <c r="BQZ24" s="246"/>
      <c r="BRA24" s="246"/>
      <c r="BRB24" s="246"/>
      <c r="BRC24" s="246"/>
      <c r="BRD24" s="246"/>
      <c r="BRE24" s="246"/>
      <c r="BRF24" s="246"/>
      <c r="BRG24" s="246"/>
      <c r="BRH24" s="246"/>
      <c r="BRI24" s="246"/>
      <c r="BRJ24" s="246"/>
      <c r="BRK24" s="246"/>
      <c r="BRL24" s="246"/>
      <c r="BRM24" s="246"/>
      <c r="BRN24" s="246"/>
      <c r="BRO24" s="246"/>
      <c r="BRP24" s="246"/>
      <c r="BRQ24" s="246"/>
      <c r="BRR24" s="246"/>
      <c r="BRS24" s="246"/>
      <c r="BRT24" s="246"/>
      <c r="BRU24" s="246"/>
      <c r="BRV24" s="246"/>
      <c r="BRW24" s="246"/>
      <c r="BRX24" s="246"/>
      <c r="BRY24" s="246"/>
      <c r="BRZ24" s="246"/>
      <c r="BSA24" s="246"/>
      <c r="BSB24" s="246"/>
      <c r="BSC24" s="246"/>
      <c r="BSD24" s="246"/>
      <c r="BSE24" s="246"/>
      <c r="BSF24" s="246"/>
      <c r="BSG24" s="246"/>
      <c r="BSH24" s="246"/>
      <c r="BSI24" s="246"/>
      <c r="BSJ24" s="246"/>
      <c r="BSK24" s="246"/>
      <c r="BSL24" s="246"/>
      <c r="BSM24" s="246"/>
      <c r="BSN24" s="246"/>
      <c r="BSO24" s="246"/>
      <c r="BSP24" s="246"/>
      <c r="BSQ24" s="246"/>
      <c r="BSR24" s="246"/>
      <c r="BSS24" s="246"/>
      <c r="BST24" s="246"/>
      <c r="BSU24" s="246"/>
      <c r="BSV24" s="246"/>
      <c r="BSW24" s="246"/>
      <c r="BSX24" s="246"/>
      <c r="BSY24" s="246"/>
      <c r="BSZ24" s="246"/>
      <c r="BTA24" s="246"/>
      <c r="BTB24" s="246"/>
      <c r="BTC24" s="246"/>
      <c r="BTD24" s="246"/>
      <c r="BTE24" s="246"/>
      <c r="BTF24" s="246"/>
      <c r="BTG24" s="246"/>
      <c r="BTH24" s="246"/>
      <c r="BTI24" s="246"/>
      <c r="BTJ24" s="246"/>
      <c r="BTK24" s="246"/>
      <c r="BTL24" s="246"/>
      <c r="BTM24" s="246"/>
      <c r="BTN24" s="246"/>
      <c r="BTO24" s="246"/>
      <c r="BTP24" s="246"/>
      <c r="BTQ24" s="246"/>
      <c r="BTR24" s="246"/>
      <c r="BTS24" s="246"/>
      <c r="BTT24" s="246"/>
      <c r="BTU24" s="246"/>
      <c r="BTV24" s="246"/>
      <c r="BTW24" s="246"/>
      <c r="BTX24" s="246"/>
      <c r="BTY24" s="246"/>
      <c r="BTZ24" s="246"/>
      <c r="BUA24" s="246"/>
      <c r="BUB24" s="246"/>
      <c r="BUC24" s="246"/>
      <c r="BUD24" s="246"/>
      <c r="BUE24" s="246"/>
      <c r="BUF24" s="246"/>
      <c r="BUG24" s="246"/>
      <c r="BUH24" s="246"/>
      <c r="BUI24" s="246"/>
      <c r="BUJ24" s="246"/>
      <c r="BUK24" s="246"/>
      <c r="BUL24" s="246"/>
      <c r="BUM24" s="246"/>
      <c r="BUN24" s="246"/>
      <c r="BUO24" s="246"/>
      <c r="BUP24" s="246"/>
      <c r="BUQ24" s="246"/>
      <c r="BUR24" s="246"/>
      <c r="BUS24" s="246"/>
      <c r="BUT24" s="246"/>
      <c r="BUU24" s="246"/>
      <c r="BUV24" s="246"/>
      <c r="BUW24" s="246"/>
      <c r="BUX24" s="246"/>
      <c r="BUY24" s="246"/>
      <c r="BUZ24" s="246"/>
      <c r="BVA24" s="246"/>
      <c r="BVB24" s="246"/>
      <c r="BVC24" s="246"/>
      <c r="BVD24" s="246"/>
      <c r="BVE24" s="246"/>
      <c r="BVF24" s="246"/>
      <c r="BVG24" s="246"/>
      <c r="BVH24" s="246"/>
      <c r="BVI24" s="246"/>
      <c r="BVJ24" s="246"/>
      <c r="BVK24" s="246"/>
      <c r="BVL24" s="246"/>
      <c r="BVM24" s="246"/>
      <c r="BVN24" s="246"/>
      <c r="BVO24" s="246"/>
      <c r="BVP24" s="246"/>
      <c r="BVQ24" s="246"/>
      <c r="BVR24" s="246"/>
      <c r="BVS24" s="246"/>
      <c r="BVT24" s="246"/>
      <c r="BVU24" s="246"/>
      <c r="BVV24" s="246"/>
      <c r="BVW24" s="246"/>
      <c r="BVX24" s="246"/>
      <c r="BVY24" s="246"/>
      <c r="BVZ24" s="246"/>
      <c r="BWA24" s="246"/>
      <c r="BWB24" s="246"/>
      <c r="BWC24" s="246"/>
      <c r="BWD24" s="246"/>
      <c r="BWE24" s="246"/>
      <c r="BWF24" s="246"/>
      <c r="BWG24" s="246"/>
      <c r="BWH24" s="246"/>
      <c r="BWI24" s="246"/>
      <c r="BWJ24" s="246"/>
      <c r="BWK24" s="246"/>
      <c r="BWL24" s="246"/>
      <c r="BWM24" s="246"/>
      <c r="BWN24" s="246"/>
      <c r="BWO24" s="246"/>
      <c r="BWP24" s="246"/>
      <c r="BWQ24" s="246"/>
      <c r="BWR24" s="246"/>
      <c r="BWS24" s="246"/>
      <c r="BWT24" s="246"/>
      <c r="BWU24" s="246"/>
      <c r="BWV24" s="246"/>
      <c r="BWW24" s="246"/>
      <c r="BWX24" s="246"/>
      <c r="BWY24" s="246"/>
      <c r="BWZ24" s="246"/>
      <c r="BXA24" s="246"/>
      <c r="BXB24" s="246"/>
      <c r="BXC24" s="246"/>
      <c r="BXD24" s="246"/>
      <c r="BXE24" s="246"/>
      <c r="BXF24" s="246"/>
      <c r="BXG24" s="246"/>
      <c r="BXH24" s="246"/>
      <c r="BXI24" s="246"/>
      <c r="BXJ24" s="246"/>
      <c r="BXK24" s="246"/>
      <c r="BXL24" s="246"/>
      <c r="BXM24" s="246"/>
      <c r="BXN24" s="246"/>
      <c r="BXO24" s="246"/>
      <c r="BXP24" s="246"/>
      <c r="BXQ24" s="246"/>
      <c r="BXR24" s="246"/>
      <c r="BXS24" s="246"/>
      <c r="BXT24" s="246"/>
      <c r="BXU24" s="246"/>
      <c r="BXV24" s="246"/>
      <c r="BXW24" s="246"/>
      <c r="BXX24" s="246"/>
      <c r="BXY24" s="246"/>
      <c r="BXZ24" s="246"/>
      <c r="BYA24" s="246"/>
      <c r="BYB24" s="246"/>
      <c r="BYC24" s="246"/>
      <c r="BYD24" s="246"/>
      <c r="BYE24" s="246"/>
      <c r="BYF24" s="246"/>
      <c r="BYG24" s="246"/>
      <c r="BYH24" s="246"/>
      <c r="BYI24" s="246"/>
      <c r="BYJ24" s="246"/>
      <c r="BYK24" s="246"/>
      <c r="BYL24" s="246"/>
      <c r="BYM24" s="246"/>
      <c r="BYN24" s="246"/>
      <c r="BYO24" s="246"/>
      <c r="BYP24" s="246"/>
      <c r="BYQ24" s="246"/>
      <c r="BYR24" s="246"/>
      <c r="BYS24" s="246"/>
      <c r="BYT24" s="246"/>
      <c r="BYU24" s="246"/>
      <c r="BYV24" s="246"/>
      <c r="BYW24" s="246"/>
      <c r="BYX24" s="246"/>
      <c r="BYY24" s="246"/>
      <c r="BYZ24" s="246"/>
      <c r="BZA24" s="246"/>
      <c r="BZB24" s="246"/>
      <c r="BZC24" s="246"/>
      <c r="BZD24" s="246"/>
      <c r="BZE24" s="246"/>
      <c r="BZF24" s="246"/>
      <c r="BZG24" s="246"/>
      <c r="BZH24" s="246"/>
      <c r="BZI24" s="246"/>
      <c r="BZJ24" s="246"/>
      <c r="BZK24" s="246"/>
      <c r="BZL24" s="246"/>
      <c r="BZM24" s="246"/>
      <c r="BZN24" s="246"/>
      <c r="BZO24" s="246"/>
      <c r="BZP24" s="246"/>
      <c r="BZQ24" s="246"/>
      <c r="BZR24" s="246"/>
      <c r="BZS24" s="246"/>
      <c r="BZT24" s="246"/>
      <c r="BZU24" s="246"/>
      <c r="BZV24" s="246"/>
      <c r="BZW24" s="246"/>
      <c r="BZX24" s="246"/>
      <c r="BZY24" s="246"/>
      <c r="BZZ24" s="246"/>
      <c r="CAA24" s="246"/>
      <c r="CAB24" s="246"/>
      <c r="CAC24" s="246"/>
      <c r="CAD24" s="246"/>
      <c r="CAE24" s="246"/>
      <c r="CAF24" s="246"/>
      <c r="CAG24" s="246"/>
      <c r="CAH24" s="246"/>
      <c r="CAI24" s="246"/>
      <c r="CAJ24" s="246"/>
      <c r="CAK24" s="246"/>
      <c r="CAL24" s="246"/>
      <c r="CAM24" s="246"/>
      <c r="CAN24" s="246"/>
      <c r="CAO24" s="246"/>
      <c r="CAP24" s="246"/>
      <c r="CAQ24" s="246"/>
      <c r="CAR24" s="246"/>
      <c r="CAS24" s="246"/>
      <c r="CAT24" s="246"/>
      <c r="CAU24" s="246"/>
      <c r="CAV24" s="246"/>
      <c r="CAW24" s="246"/>
      <c r="CAX24" s="246"/>
      <c r="CAY24" s="246"/>
      <c r="CAZ24" s="246"/>
      <c r="CBA24" s="246"/>
      <c r="CBB24" s="246"/>
      <c r="CBC24" s="246"/>
      <c r="CBD24" s="246"/>
      <c r="CBE24" s="246"/>
      <c r="CBF24" s="246"/>
      <c r="CBG24" s="246"/>
      <c r="CBH24" s="246"/>
      <c r="CBI24" s="246"/>
      <c r="CBJ24" s="246"/>
      <c r="CBK24" s="246"/>
      <c r="CBL24" s="246"/>
      <c r="CBM24" s="246"/>
      <c r="CBN24" s="246"/>
      <c r="CBO24" s="246"/>
      <c r="CBP24" s="246"/>
      <c r="CBQ24" s="246"/>
      <c r="CBR24" s="246"/>
      <c r="CBS24" s="246"/>
      <c r="CBT24" s="246"/>
      <c r="CBU24" s="246"/>
      <c r="CBV24" s="246"/>
      <c r="CBW24" s="246"/>
      <c r="CBX24" s="246"/>
      <c r="CBY24" s="246"/>
      <c r="CBZ24" s="246"/>
      <c r="CCA24" s="246"/>
      <c r="CCB24" s="246"/>
      <c r="CCC24" s="246"/>
      <c r="CCD24" s="246"/>
      <c r="CCE24" s="246"/>
      <c r="CCF24" s="246"/>
      <c r="CCG24" s="246"/>
      <c r="CCH24" s="246"/>
      <c r="CCI24" s="246"/>
      <c r="CCJ24" s="246"/>
      <c r="CCK24" s="246"/>
      <c r="CCL24" s="246"/>
      <c r="CCM24" s="246"/>
      <c r="CCN24" s="246"/>
      <c r="CCO24" s="246"/>
      <c r="CCP24" s="246"/>
      <c r="CCQ24" s="246"/>
      <c r="CCR24" s="246"/>
      <c r="CCS24" s="246"/>
      <c r="CCT24" s="246"/>
      <c r="CCU24" s="246"/>
      <c r="CCV24" s="246"/>
      <c r="CCW24" s="246"/>
      <c r="CCX24" s="246"/>
      <c r="CCY24" s="246"/>
      <c r="CCZ24" s="246"/>
      <c r="CDA24" s="246"/>
      <c r="CDB24" s="246"/>
      <c r="CDC24" s="246"/>
      <c r="CDD24" s="246"/>
      <c r="CDE24" s="246"/>
      <c r="CDF24" s="246"/>
      <c r="CDG24" s="246"/>
      <c r="CDH24" s="246"/>
      <c r="CDI24" s="246"/>
      <c r="CDJ24" s="246"/>
      <c r="CDK24" s="246"/>
      <c r="CDL24" s="246"/>
      <c r="CDM24" s="246"/>
      <c r="CDN24" s="246"/>
      <c r="CDO24" s="246"/>
      <c r="CDP24" s="246"/>
      <c r="CDQ24" s="246"/>
      <c r="CDR24" s="246"/>
      <c r="CDS24" s="246"/>
      <c r="CDT24" s="246"/>
      <c r="CDU24" s="246"/>
      <c r="CDV24" s="246"/>
      <c r="CDW24" s="246"/>
      <c r="CDX24" s="246"/>
      <c r="CDY24" s="246"/>
      <c r="CDZ24" s="246"/>
      <c r="CEA24" s="246"/>
      <c r="CEB24" s="246"/>
      <c r="CEC24" s="246"/>
      <c r="CED24" s="246"/>
      <c r="CEE24" s="246"/>
      <c r="CEF24" s="246"/>
      <c r="CEG24" s="246"/>
      <c r="CEH24" s="246"/>
      <c r="CEI24" s="246"/>
      <c r="CEJ24" s="246"/>
      <c r="CEK24" s="246"/>
      <c r="CEL24" s="246"/>
      <c r="CEM24" s="246"/>
      <c r="CEN24" s="246"/>
      <c r="CEO24" s="246"/>
      <c r="CEP24" s="246"/>
      <c r="CEQ24" s="246"/>
      <c r="CER24" s="246"/>
      <c r="CES24" s="246"/>
      <c r="CET24" s="246"/>
      <c r="CEU24" s="246"/>
      <c r="CEV24" s="246"/>
      <c r="CEW24" s="246"/>
      <c r="CEX24" s="246"/>
      <c r="CEY24" s="246"/>
      <c r="CEZ24" s="246"/>
      <c r="CFA24" s="246"/>
      <c r="CFB24" s="246"/>
      <c r="CFC24" s="246"/>
      <c r="CFD24" s="246"/>
      <c r="CFE24" s="246"/>
      <c r="CFF24" s="246"/>
      <c r="CFG24" s="246"/>
      <c r="CFH24" s="246"/>
      <c r="CFI24" s="246"/>
      <c r="CFJ24" s="246"/>
      <c r="CFK24" s="246"/>
      <c r="CFL24" s="246"/>
      <c r="CFM24" s="246"/>
      <c r="CFN24" s="246"/>
      <c r="CFO24" s="246"/>
      <c r="CFP24" s="246"/>
      <c r="CFQ24" s="246"/>
      <c r="CFR24" s="246"/>
      <c r="CFS24" s="246"/>
      <c r="CFT24" s="246"/>
      <c r="CFU24" s="246"/>
      <c r="CFV24" s="246"/>
      <c r="CFW24" s="246"/>
      <c r="CFX24" s="246"/>
      <c r="CFY24" s="246"/>
      <c r="CFZ24" s="246"/>
      <c r="CGA24" s="246"/>
      <c r="CGB24" s="246"/>
      <c r="CGC24" s="246"/>
      <c r="CGD24" s="246"/>
      <c r="CGE24" s="246"/>
      <c r="CGF24" s="246"/>
      <c r="CGG24" s="246"/>
      <c r="CGH24" s="246"/>
      <c r="CGI24" s="246"/>
      <c r="CGJ24" s="246"/>
      <c r="CGK24" s="246"/>
      <c r="CGL24" s="246"/>
      <c r="CGM24" s="246"/>
      <c r="CGN24" s="246"/>
      <c r="CGO24" s="246"/>
      <c r="CGP24" s="246"/>
      <c r="CGQ24" s="246"/>
      <c r="CGR24" s="246"/>
      <c r="CGS24" s="246"/>
      <c r="CGT24" s="246"/>
      <c r="CGU24" s="246"/>
      <c r="CGV24" s="246"/>
      <c r="CGW24" s="246"/>
      <c r="CGX24" s="246"/>
      <c r="CGY24" s="246"/>
      <c r="CGZ24" s="246"/>
      <c r="CHA24" s="246"/>
      <c r="CHB24" s="246"/>
      <c r="CHC24" s="246"/>
      <c r="CHD24" s="246"/>
      <c r="CHE24" s="246"/>
      <c r="CHF24" s="246"/>
      <c r="CHG24" s="246"/>
      <c r="CHH24" s="246"/>
      <c r="CHI24" s="246"/>
      <c r="CHJ24" s="246"/>
      <c r="CHK24" s="246"/>
      <c r="CHL24" s="246"/>
      <c r="CHM24" s="246"/>
      <c r="CHN24" s="246"/>
      <c r="CHO24" s="246"/>
      <c r="CHP24" s="246"/>
      <c r="CHQ24" s="246"/>
      <c r="CHR24" s="246"/>
      <c r="CHS24" s="246"/>
      <c r="CHT24" s="246"/>
      <c r="CHU24" s="246"/>
      <c r="CHV24" s="246"/>
      <c r="CHW24" s="246"/>
      <c r="CHX24" s="246"/>
      <c r="CHY24" s="246"/>
      <c r="CHZ24" s="246"/>
      <c r="CIA24" s="246"/>
      <c r="CIB24" s="246"/>
      <c r="CIC24" s="246"/>
      <c r="CID24" s="246"/>
      <c r="CIE24" s="246"/>
      <c r="CIF24" s="246"/>
      <c r="CIG24" s="246"/>
      <c r="CIH24" s="246"/>
      <c r="CII24" s="246"/>
      <c r="CIJ24" s="246"/>
      <c r="CIK24" s="246"/>
      <c r="CIL24" s="246"/>
      <c r="CIM24" s="246"/>
      <c r="CIN24" s="246"/>
      <c r="CIO24" s="246"/>
      <c r="CIP24" s="246"/>
      <c r="CIQ24" s="246"/>
      <c r="CIR24" s="246"/>
      <c r="CIS24" s="246"/>
      <c r="CIT24" s="246"/>
      <c r="CIU24" s="246"/>
      <c r="CIV24" s="246"/>
      <c r="CIW24" s="246"/>
      <c r="CIX24" s="246"/>
      <c r="CIY24" s="246"/>
      <c r="CIZ24" s="246"/>
      <c r="CJA24" s="246"/>
      <c r="CJB24" s="246"/>
      <c r="CJC24" s="246"/>
      <c r="CJD24" s="246"/>
      <c r="CJE24" s="246"/>
      <c r="CJF24" s="246"/>
      <c r="CJG24" s="246"/>
      <c r="CJH24" s="246"/>
      <c r="CJI24" s="246"/>
      <c r="CJJ24" s="246"/>
      <c r="CJK24" s="246"/>
      <c r="CJL24" s="246"/>
      <c r="CJM24" s="246"/>
      <c r="CJN24" s="246"/>
      <c r="CJO24" s="246"/>
      <c r="CJP24" s="246"/>
      <c r="CJQ24" s="246"/>
      <c r="CJR24" s="246"/>
      <c r="CJS24" s="246"/>
      <c r="CJT24" s="246"/>
      <c r="CJU24" s="246"/>
      <c r="CJV24" s="246"/>
      <c r="CJW24" s="246"/>
      <c r="CJX24" s="246"/>
      <c r="CJY24" s="246"/>
      <c r="CJZ24" s="246"/>
      <c r="CKA24" s="246"/>
      <c r="CKB24" s="246"/>
      <c r="CKC24" s="246"/>
      <c r="CKD24" s="246"/>
      <c r="CKE24" s="246"/>
      <c r="CKF24" s="246"/>
      <c r="CKG24" s="246"/>
      <c r="CKH24" s="246"/>
      <c r="CKI24" s="246"/>
      <c r="CKJ24" s="246"/>
      <c r="CKK24" s="246"/>
      <c r="CKL24" s="246"/>
      <c r="CKM24" s="246"/>
      <c r="CKN24" s="246"/>
      <c r="CKO24" s="246"/>
      <c r="CKP24" s="246"/>
      <c r="CKQ24" s="246"/>
      <c r="CKR24" s="246"/>
      <c r="CKS24" s="246"/>
      <c r="CKT24" s="246"/>
      <c r="CKU24" s="246"/>
      <c r="CKV24" s="246"/>
      <c r="CKW24" s="246"/>
      <c r="CKX24" s="246"/>
      <c r="CKY24" s="246"/>
      <c r="CKZ24" s="246"/>
      <c r="CLA24" s="246"/>
      <c r="CLB24" s="246"/>
      <c r="CLC24" s="246"/>
      <c r="CLD24" s="246"/>
      <c r="CLE24" s="246"/>
      <c r="CLF24" s="246"/>
      <c r="CLG24" s="246"/>
      <c r="CLH24" s="246"/>
      <c r="CLI24" s="246"/>
      <c r="CLJ24" s="246"/>
      <c r="CLK24" s="246"/>
      <c r="CLL24" s="246"/>
      <c r="CLM24" s="246"/>
      <c r="CLN24" s="246"/>
      <c r="CLO24" s="246"/>
      <c r="CLP24" s="246"/>
      <c r="CLQ24" s="246"/>
      <c r="CLR24" s="246"/>
      <c r="CLS24" s="246"/>
      <c r="CLT24" s="246"/>
      <c r="CLU24" s="246"/>
      <c r="CLV24" s="246"/>
      <c r="CLW24" s="246"/>
      <c r="CLX24" s="246"/>
      <c r="CLY24" s="246"/>
      <c r="CLZ24" s="246"/>
      <c r="CMA24" s="246"/>
      <c r="CMB24" s="246"/>
      <c r="CMC24" s="246"/>
      <c r="CMD24" s="246"/>
      <c r="CME24" s="246"/>
      <c r="CMF24" s="246"/>
      <c r="CMG24" s="246"/>
      <c r="CMH24" s="246"/>
      <c r="CMI24" s="246"/>
      <c r="CMJ24" s="246"/>
      <c r="CMK24" s="246"/>
      <c r="CML24" s="246"/>
      <c r="CMM24" s="246"/>
      <c r="CMN24" s="246"/>
      <c r="CMO24" s="246"/>
      <c r="CMP24" s="246"/>
      <c r="CMQ24" s="246"/>
      <c r="CMR24" s="246"/>
      <c r="CMS24" s="246"/>
      <c r="CMT24" s="246"/>
      <c r="CMU24" s="246"/>
      <c r="CMV24" s="246"/>
      <c r="CMW24" s="246"/>
      <c r="CMX24" s="246"/>
      <c r="CMY24" s="246"/>
      <c r="CMZ24" s="246"/>
      <c r="CNA24" s="246"/>
      <c r="CNB24" s="246"/>
      <c r="CNC24" s="246"/>
      <c r="CND24" s="246"/>
      <c r="CNE24" s="246"/>
      <c r="CNF24" s="246"/>
      <c r="CNG24" s="246"/>
      <c r="CNH24" s="246"/>
      <c r="CNI24" s="246"/>
      <c r="CNJ24" s="246"/>
      <c r="CNK24" s="246"/>
      <c r="CNL24" s="246"/>
      <c r="CNM24" s="246"/>
      <c r="CNN24" s="246"/>
      <c r="CNO24" s="246"/>
      <c r="CNP24" s="246"/>
      <c r="CNQ24" s="246"/>
      <c r="CNR24" s="246"/>
      <c r="CNS24" s="246"/>
      <c r="CNT24" s="246"/>
      <c r="CNU24" s="246"/>
      <c r="CNV24" s="246"/>
      <c r="CNW24" s="246"/>
      <c r="CNX24" s="246"/>
      <c r="CNY24" s="246"/>
      <c r="CNZ24" s="246"/>
      <c r="COA24" s="246"/>
      <c r="COB24" s="246"/>
      <c r="COC24" s="246"/>
      <c r="COD24" s="246"/>
      <c r="COE24" s="246"/>
      <c r="COF24" s="246"/>
      <c r="COG24" s="246"/>
      <c r="COH24" s="246"/>
      <c r="COI24" s="246"/>
      <c r="COJ24" s="246"/>
      <c r="COK24" s="246"/>
      <c r="COL24" s="246"/>
      <c r="COM24" s="246"/>
      <c r="CON24" s="246"/>
      <c r="COO24" s="246"/>
      <c r="COP24" s="246"/>
      <c r="COQ24" s="246"/>
      <c r="COR24" s="246"/>
      <c r="COS24" s="246"/>
      <c r="COT24" s="246"/>
      <c r="COU24" s="246"/>
      <c r="COV24" s="246"/>
      <c r="COW24" s="246"/>
      <c r="COX24" s="246"/>
      <c r="COY24" s="246"/>
      <c r="COZ24" s="246"/>
      <c r="CPA24" s="246"/>
      <c r="CPB24" s="246"/>
      <c r="CPC24" s="246"/>
      <c r="CPD24" s="246"/>
      <c r="CPE24" s="246"/>
      <c r="CPF24" s="246"/>
      <c r="CPG24" s="246"/>
      <c r="CPH24" s="246"/>
      <c r="CPI24" s="246"/>
      <c r="CPJ24" s="246"/>
      <c r="CPK24" s="246"/>
      <c r="CPL24" s="246"/>
      <c r="CPM24" s="246"/>
      <c r="CPN24" s="246"/>
      <c r="CPO24" s="246"/>
      <c r="CPP24" s="246"/>
      <c r="CPQ24" s="246"/>
      <c r="CPR24" s="246"/>
      <c r="CPS24" s="246"/>
      <c r="CPT24" s="246"/>
      <c r="CPU24" s="246"/>
      <c r="CPV24" s="246"/>
      <c r="CPW24" s="246"/>
      <c r="CPX24" s="246"/>
      <c r="CPY24" s="246"/>
      <c r="CPZ24" s="246"/>
      <c r="CQA24" s="246"/>
      <c r="CQB24" s="246"/>
      <c r="CQC24" s="246"/>
      <c r="CQD24" s="246"/>
      <c r="CQE24" s="246"/>
      <c r="CQF24" s="246"/>
      <c r="CQG24" s="246"/>
      <c r="CQH24" s="246"/>
      <c r="CQI24" s="246"/>
      <c r="CQJ24" s="246"/>
      <c r="CQK24" s="246"/>
      <c r="CQL24" s="246"/>
      <c r="CQM24" s="246"/>
      <c r="CQN24" s="246"/>
      <c r="CQO24" s="246"/>
      <c r="CQP24" s="246"/>
      <c r="CQQ24" s="246"/>
      <c r="CQR24" s="246"/>
      <c r="CQS24" s="246"/>
      <c r="CQT24" s="246"/>
      <c r="CQU24" s="246"/>
      <c r="CQV24" s="246"/>
      <c r="CQW24" s="246"/>
      <c r="CQX24" s="246"/>
      <c r="CQY24" s="246"/>
      <c r="CQZ24" s="246"/>
      <c r="CRA24" s="246"/>
      <c r="CRB24" s="246"/>
      <c r="CRC24" s="246"/>
      <c r="CRD24" s="246"/>
      <c r="CRE24" s="246"/>
      <c r="CRF24" s="246"/>
      <c r="CRG24" s="246"/>
      <c r="CRH24" s="246"/>
      <c r="CRI24" s="246"/>
      <c r="CRJ24" s="246"/>
      <c r="CRK24" s="246"/>
      <c r="CRL24" s="246"/>
      <c r="CRM24" s="246"/>
      <c r="CRN24" s="246"/>
      <c r="CRO24" s="246"/>
      <c r="CRP24" s="246"/>
      <c r="CRQ24" s="246"/>
      <c r="CRR24" s="246"/>
      <c r="CRS24" s="246"/>
      <c r="CRT24" s="246"/>
      <c r="CRU24" s="246"/>
      <c r="CRV24" s="246"/>
      <c r="CRW24" s="246"/>
      <c r="CRX24" s="246"/>
      <c r="CRY24" s="246"/>
      <c r="CRZ24" s="246"/>
      <c r="CSA24" s="246"/>
      <c r="CSB24" s="246"/>
      <c r="CSC24" s="246"/>
      <c r="CSD24" s="246"/>
      <c r="CSE24" s="246"/>
      <c r="CSF24" s="246"/>
      <c r="CSG24" s="246"/>
      <c r="CSH24" s="246"/>
      <c r="CSI24" s="246"/>
      <c r="CSJ24" s="246"/>
      <c r="CSK24" s="246"/>
      <c r="CSL24" s="246"/>
      <c r="CSM24" s="246"/>
      <c r="CSN24" s="246"/>
      <c r="CSO24" s="246"/>
      <c r="CSP24" s="246"/>
      <c r="CSQ24" s="246"/>
      <c r="CSR24" s="246"/>
      <c r="CSS24" s="246"/>
      <c r="CST24" s="246"/>
      <c r="CSU24" s="246"/>
      <c r="CSV24" s="246"/>
      <c r="CSW24" s="246"/>
      <c r="CSX24" s="246"/>
      <c r="CSY24" s="246"/>
      <c r="CSZ24" s="246"/>
      <c r="CTA24" s="246"/>
      <c r="CTB24" s="246"/>
      <c r="CTC24" s="246"/>
      <c r="CTD24" s="246"/>
      <c r="CTE24" s="246"/>
      <c r="CTF24" s="246"/>
      <c r="CTG24" s="246"/>
      <c r="CTH24" s="246"/>
      <c r="CTI24" s="246"/>
      <c r="CTJ24" s="246"/>
      <c r="CTK24" s="246"/>
      <c r="CTL24" s="246"/>
      <c r="CTM24" s="246"/>
      <c r="CTN24" s="246"/>
      <c r="CTO24" s="246"/>
      <c r="CTP24" s="246"/>
      <c r="CTQ24" s="246"/>
      <c r="CTR24" s="246"/>
      <c r="CTS24" s="246"/>
      <c r="CTT24" s="246"/>
      <c r="CTU24" s="246"/>
      <c r="CTV24" s="246"/>
      <c r="CTW24" s="246"/>
      <c r="CTX24" s="246"/>
      <c r="CTY24" s="246"/>
      <c r="CTZ24" s="246"/>
      <c r="CUA24" s="246"/>
      <c r="CUB24" s="246"/>
      <c r="CUC24" s="246"/>
      <c r="CUD24" s="246"/>
      <c r="CUE24" s="246"/>
      <c r="CUF24" s="246"/>
      <c r="CUG24" s="246"/>
      <c r="CUH24" s="246"/>
      <c r="CUI24" s="246"/>
      <c r="CUJ24" s="246"/>
      <c r="CUK24" s="246"/>
      <c r="CUL24" s="246"/>
      <c r="CUM24" s="246"/>
      <c r="CUN24" s="246"/>
      <c r="CUO24" s="246"/>
      <c r="CUP24" s="246"/>
      <c r="CUQ24" s="246"/>
      <c r="CUR24" s="246"/>
      <c r="CUS24" s="246"/>
      <c r="CUT24" s="246"/>
      <c r="CUU24" s="246"/>
      <c r="CUV24" s="246"/>
      <c r="CUW24" s="246"/>
      <c r="CUX24" s="246"/>
      <c r="CUY24" s="246"/>
      <c r="CUZ24" s="246"/>
      <c r="CVA24" s="246"/>
      <c r="CVB24" s="246"/>
      <c r="CVC24" s="246"/>
      <c r="CVD24" s="246"/>
      <c r="CVE24" s="246"/>
      <c r="CVF24" s="246"/>
      <c r="CVG24" s="246"/>
      <c r="CVH24" s="246"/>
      <c r="CVI24" s="246"/>
      <c r="CVJ24" s="246"/>
      <c r="CVK24" s="246"/>
      <c r="CVL24" s="246"/>
      <c r="CVM24" s="246"/>
      <c r="CVN24" s="246"/>
      <c r="CVO24" s="246"/>
      <c r="CVP24" s="246"/>
      <c r="CVQ24" s="246"/>
      <c r="CVR24" s="246"/>
      <c r="CVS24" s="246"/>
      <c r="CVT24" s="246"/>
      <c r="CVU24" s="246"/>
      <c r="CVV24" s="246"/>
      <c r="CVW24" s="246"/>
      <c r="CVX24" s="246"/>
      <c r="CVY24" s="246"/>
      <c r="CVZ24" s="246"/>
      <c r="CWA24" s="246"/>
      <c r="CWB24" s="246"/>
      <c r="CWC24" s="246"/>
      <c r="CWD24" s="246"/>
      <c r="CWE24" s="246"/>
      <c r="CWF24" s="246"/>
      <c r="CWG24" s="246"/>
      <c r="CWH24" s="246"/>
      <c r="CWI24" s="246"/>
      <c r="CWJ24" s="246"/>
      <c r="CWK24" s="246"/>
      <c r="CWL24" s="246"/>
      <c r="CWM24" s="246"/>
      <c r="CWN24" s="246"/>
      <c r="CWO24" s="246"/>
      <c r="CWP24" s="246"/>
      <c r="CWQ24" s="246"/>
      <c r="CWR24" s="246"/>
      <c r="CWS24" s="246"/>
      <c r="CWT24" s="246"/>
      <c r="CWU24" s="246"/>
      <c r="CWV24" s="246"/>
      <c r="CWW24" s="246"/>
      <c r="CWX24" s="246"/>
      <c r="CWY24" s="246"/>
      <c r="CWZ24" s="246"/>
      <c r="CXA24" s="246"/>
      <c r="CXB24" s="246"/>
      <c r="CXC24" s="246"/>
      <c r="CXD24" s="246"/>
      <c r="CXE24" s="246"/>
      <c r="CXF24" s="246"/>
      <c r="CXG24" s="246"/>
      <c r="CXH24" s="246"/>
      <c r="CXI24" s="246"/>
      <c r="CXJ24" s="246"/>
      <c r="CXK24" s="246"/>
      <c r="CXL24" s="246"/>
      <c r="CXM24" s="246"/>
      <c r="CXN24" s="246"/>
      <c r="CXO24" s="246"/>
      <c r="CXP24" s="246"/>
      <c r="CXQ24" s="246"/>
      <c r="CXR24" s="246"/>
      <c r="CXS24" s="246"/>
      <c r="CXT24" s="246"/>
      <c r="CXU24" s="246"/>
      <c r="CXV24" s="246"/>
      <c r="CXW24" s="246"/>
      <c r="CXX24" s="246"/>
      <c r="CXY24" s="246"/>
      <c r="CXZ24" s="246"/>
      <c r="CYA24" s="246"/>
      <c r="CYB24" s="246"/>
      <c r="CYC24" s="246"/>
      <c r="CYD24" s="246"/>
      <c r="CYE24" s="246"/>
      <c r="CYF24" s="246"/>
      <c r="CYG24" s="246"/>
      <c r="CYH24" s="246"/>
      <c r="CYI24" s="246"/>
      <c r="CYJ24" s="246"/>
      <c r="CYK24" s="246"/>
      <c r="CYL24" s="246"/>
      <c r="CYM24" s="246"/>
      <c r="CYN24" s="246"/>
      <c r="CYO24" s="246"/>
      <c r="CYP24" s="246"/>
      <c r="CYQ24" s="246"/>
      <c r="CYR24" s="246"/>
      <c r="CYS24" s="246"/>
      <c r="CYT24" s="246"/>
      <c r="CYU24" s="246"/>
      <c r="CYV24" s="246"/>
      <c r="CYW24" s="246"/>
      <c r="CYX24" s="246"/>
      <c r="CYY24" s="246"/>
      <c r="CYZ24" s="246"/>
      <c r="CZA24" s="246"/>
      <c r="CZB24" s="246"/>
      <c r="CZC24" s="246"/>
      <c r="CZD24" s="246"/>
      <c r="CZE24" s="246"/>
      <c r="CZF24" s="246"/>
      <c r="CZG24" s="246"/>
      <c r="CZH24" s="246"/>
      <c r="CZI24" s="246"/>
      <c r="CZJ24" s="246"/>
      <c r="CZK24" s="246"/>
      <c r="CZL24" s="246"/>
      <c r="CZM24" s="246"/>
      <c r="CZN24" s="246"/>
      <c r="CZO24" s="246"/>
      <c r="CZP24" s="246"/>
      <c r="CZQ24" s="246"/>
      <c r="CZR24" s="246"/>
      <c r="CZS24" s="246"/>
      <c r="CZT24" s="246"/>
      <c r="CZU24" s="246"/>
      <c r="CZV24" s="246"/>
      <c r="CZW24" s="246"/>
      <c r="CZX24" s="246"/>
      <c r="CZY24" s="246"/>
      <c r="CZZ24" s="246"/>
      <c r="DAA24" s="246"/>
      <c r="DAB24" s="246"/>
      <c r="DAC24" s="246"/>
      <c r="DAD24" s="246"/>
      <c r="DAE24" s="246"/>
      <c r="DAF24" s="246"/>
      <c r="DAG24" s="246"/>
      <c r="DAH24" s="246"/>
      <c r="DAI24" s="246"/>
      <c r="DAJ24" s="246"/>
      <c r="DAK24" s="246"/>
      <c r="DAL24" s="246"/>
      <c r="DAM24" s="246"/>
      <c r="DAN24" s="246"/>
      <c r="DAO24" s="246"/>
      <c r="DAP24" s="246"/>
      <c r="DAQ24" s="246"/>
      <c r="DAR24" s="246"/>
      <c r="DAS24" s="246"/>
      <c r="DAT24" s="246"/>
      <c r="DAU24" s="246"/>
      <c r="DAV24" s="246"/>
      <c r="DAW24" s="246"/>
      <c r="DAX24" s="246"/>
      <c r="DAY24" s="246"/>
      <c r="DAZ24" s="246"/>
      <c r="DBA24" s="246"/>
      <c r="DBB24" s="246"/>
      <c r="DBC24" s="246"/>
      <c r="DBD24" s="246"/>
      <c r="DBE24" s="246"/>
      <c r="DBF24" s="246"/>
      <c r="DBG24" s="246"/>
      <c r="DBH24" s="246"/>
      <c r="DBI24" s="246"/>
      <c r="DBJ24" s="246"/>
      <c r="DBK24" s="246"/>
      <c r="DBL24" s="246"/>
      <c r="DBM24" s="246"/>
      <c r="DBN24" s="246"/>
      <c r="DBO24" s="246"/>
      <c r="DBP24" s="246"/>
      <c r="DBQ24" s="246"/>
      <c r="DBR24" s="246"/>
      <c r="DBS24" s="246"/>
      <c r="DBT24" s="246"/>
      <c r="DBU24" s="246"/>
      <c r="DBV24" s="246"/>
      <c r="DBW24" s="246"/>
      <c r="DBX24" s="246"/>
      <c r="DBY24" s="246"/>
      <c r="DBZ24" s="246"/>
      <c r="DCA24" s="246"/>
      <c r="DCB24" s="246"/>
      <c r="DCC24" s="246"/>
      <c r="DCD24" s="246"/>
      <c r="DCE24" s="246"/>
      <c r="DCF24" s="246"/>
      <c r="DCG24" s="246"/>
      <c r="DCH24" s="246"/>
      <c r="DCI24" s="246"/>
      <c r="DCJ24" s="246"/>
      <c r="DCK24" s="246"/>
      <c r="DCL24" s="246"/>
      <c r="DCM24" s="246"/>
      <c r="DCN24" s="246"/>
      <c r="DCO24" s="246"/>
      <c r="DCP24" s="246"/>
      <c r="DCQ24" s="246"/>
      <c r="DCR24" s="246"/>
      <c r="DCS24" s="246"/>
      <c r="DCT24" s="246"/>
      <c r="DCU24" s="246"/>
      <c r="DCV24" s="246"/>
      <c r="DCW24" s="246"/>
      <c r="DCX24" s="246"/>
      <c r="DCY24" s="246"/>
      <c r="DCZ24" s="246"/>
      <c r="DDA24" s="246"/>
      <c r="DDB24" s="246"/>
      <c r="DDC24" s="246"/>
      <c r="DDD24" s="246"/>
      <c r="DDE24" s="246"/>
      <c r="DDF24" s="246"/>
      <c r="DDG24" s="246"/>
      <c r="DDH24" s="246"/>
      <c r="DDI24" s="246"/>
      <c r="DDJ24" s="246"/>
      <c r="DDK24" s="246"/>
      <c r="DDL24" s="246"/>
      <c r="DDM24" s="246"/>
      <c r="DDN24" s="246"/>
      <c r="DDO24" s="246"/>
      <c r="DDP24" s="246"/>
      <c r="DDQ24" s="246"/>
      <c r="DDR24" s="246"/>
      <c r="DDS24" s="246"/>
      <c r="DDT24" s="246"/>
      <c r="DDU24" s="246"/>
      <c r="DDV24" s="246"/>
      <c r="DDW24" s="246"/>
      <c r="DDX24" s="246"/>
      <c r="DDY24" s="246"/>
      <c r="DDZ24" s="246"/>
      <c r="DEA24" s="246"/>
      <c r="DEB24" s="246"/>
      <c r="DEC24" s="246"/>
      <c r="DED24" s="246"/>
      <c r="DEE24" s="246"/>
      <c r="DEF24" s="246"/>
      <c r="DEG24" s="246"/>
      <c r="DEH24" s="246"/>
      <c r="DEI24" s="246"/>
      <c r="DEJ24" s="246"/>
      <c r="DEK24" s="246"/>
      <c r="DEL24" s="246"/>
      <c r="DEM24" s="246"/>
      <c r="DEN24" s="246"/>
      <c r="DEO24" s="246"/>
      <c r="DEP24" s="246"/>
      <c r="DEQ24" s="246"/>
      <c r="DER24" s="246"/>
      <c r="DES24" s="246"/>
      <c r="DET24" s="246"/>
      <c r="DEU24" s="246"/>
      <c r="DEV24" s="246"/>
      <c r="DEW24" s="246"/>
      <c r="DEX24" s="246"/>
      <c r="DEY24" s="246"/>
      <c r="DEZ24" s="246"/>
      <c r="DFA24" s="246"/>
      <c r="DFB24" s="246"/>
      <c r="DFC24" s="246"/>
      <c r="DFD24" s="246"/>
      <c r="DFE24" s="246"/>
      <c r="DFF24" s="246"/>
      <c r="DFG24" s="246"/>
      <c r="DFH24" s="246"/>
      <c r="DFI24" s="246"/>
      <c r="DFJ24" s="246"/>
      <c r="DFK24" s="246"/>
      <c r="DFL24" s="246"/>
      <c r="DFM24" s="246"/>
      <c r="DFN24" s="246"/>
      <c r="DFO24" s="246"/>
      <c r="DFP24" s="246"/>
      <c r="DFQ24" s="246"/>
      <c r="DFR24" s="246"/>
      <c r="DFS24" s="246"/>
      <c r="DFT24" s="246"/>
      <c r="DFU24" s="246"/>
      <c r="DFV24" s="246"/>
      <c r="DFW24" s="246"/>
      <c r="DFX24" s="246"/>
      <c r="DFY24" s="246"/>
      <c r="DFZ24" s="246"/>
      <c r="DGA24" s="246"/>
      <c r="DGB24" s="246"/>
      <c r="DGC24" s="246"/>
      <c r="DGD24" s="246"/>
      <c r="DGE24" s="246"/>
      <c r="DGF24" s="246"/>
      <c r="DGG24" s="246"/>
      <c r="DGH24" s="246"/>
      <c r="DGI24" s="246"/>
      <c r="DGJ24" s="246"/>
      <c r="DGK24" s="246"/>
      <c r="DGL24" s="246"/>
      <c r="DGM24" s="246"/>
      <c r="DGN24" s="246"/>
      <c r="DGO24" s="246"/>
      <c r="DGP24" s="246"/>
      <c r="DGQ24" s="246"/>
      <c r="DGR24" s="246"/>
      <c r="DGS24" s="246"/>
      <c r="DGT24" s="246"/>
      <c r="DGU24" s="246"/>
      <c r="DGV24" s="246"/>
      <c r="DGW24" s="246"/>
      <c r="DGX24" s="246"/>
      <c r="DGY24" s="246"/>
      <c r="DGZ24" s="246"/>
      <c r="DHA24" s="246"/>
      <c r="DHB24" s="246"/>
      <c r="DHC24" s="246"/>
      <c r="DHD24" s="246"/>
      <c r="DHE24" s="246"/>
      <c r="DHF24" s="246"/>
      <c r="DHG24" s="246"/>
      <c r="DHH24" s="246"/>
      <c r="DHI24" s="246"/>
      <c r="DHJ24" s="246"/>
      <c r="DHK24" s="246"/>
      <c r="DHL24" s="246"/>
      <c r="DHM24" s="246"/>
      <c r="DHN24" s="246"/>
      <c r="DHO24" s="246"/>
      <c r="DHP24" s="246"/>
      <c r="DHQ24" s="246"/>
      <c r="DHR24" s="246"/>
      <c r="DHS24" s="246"/>
      <c r="DHT24" s="246"/>
      <c r="DHU24" s="246"/>
      <c r="DHV24" s="246"/>
      <c r="DHW24" s="246"/>
      <c r="DHX24" s="246"/>
      <c r="DHY24" s="246"/>
      <c r="DHZ24" s="246"/>
      <c r="DIA24" s="246"/>
      <c r="DIB24" s="246"/>
      <c r="DIC24" s="246"/>
      <c r="DID24" s="246"/>
      <c r="DIE24" s="246"/>
      <c r="DIF24" s="246"/>
      <c r="DIG24" s="246"/>
      <c r="DIH24" s="246"/>
      <c r="DII24" s="246"/>
      <c r="DIJ24" s="246"/>
      <c r="DIK24" s="246"/>
      <c r="DIL24" s="246"/>
      <c r="DIM24" s="246"/>
      <c r="DIN24" s="246"/>
      <c r="DIO24" s="246"/>
      <c r="DIP24" s="246"/>
      <c r="DIQ24" s="246"/>
      <c r="DIR24" s="246"/>
      <c r="DIS24" s="246"/>
      <c r="DIT24" s="246"/>
      <c r="DIU24" s="246"/>
      <c r="DIV24" s="246"/>
      <c r="DIW24" s="246"/>
      <c r="DIX24" s="246"/>
      <c r="DIY24" s="246"/>
      <c r="DIZ24" s="246"/>
      <c r="DJA24" s="246"/>
      <c r="DJB24" s="246"/>
      <c r="DJC24" s="246"/>
      <c r="DJD24" s="246"/>
      <c r="DJE24" s="246"/>
      <c r="DJF24" s="246"/>
      <c r="DJG24" s="246"/>
      <c r="DJH24" s="246"/>
      <c r="DJI24" s="246"/>
      <c r="DJJ24" s="246"/>
      <c r="DJK24" s="246"/>
      <c r="DJL24" s="246"/>
      <c r="DJM24" s="246"/>
      <c r="DJN24" s="246"/>
      <c r="DJO24" s="246"/>
      <c r="DJP24" s="246"/>
      <c r="DJQ24" s="246"/>
      <c r="DJR24" s="246"/>
      <c r="DJS24" s="246"/>
      <c r="DJT24" s="246"/>
      <c r="DJU24" s="246"/>
      <c r="DJV24" s="246"/>
      <c r="DJW24" s="246"/>
      <c r="DJX24" s="246"/>
      <c r="DJY24" s="246"/>
      <c r="DJZ24" s="246"/>
      <c r="DKA24" s="246"/>
      <c r="DKB24" s="246"/>
      <c r="DKC24" s="246"/>
      <c r="DKD24" s="246"/>
      <c r="DKE24" s="246"/>
      <c r="DKF24" s="246"/>
      <c r="DKG24" s="246"/>
      <c r="DKH24" s="246"/>
      <c r="DKI24" s="246"/>
      <c r="DKJ24" s="246"/>
      <c r="DKK24" s="246"/>
      <c r="DKL24" s="246"/>
      <c r="DKM24" s="246"/>
      <c r="DKN24" s="246"/>
      <c r="DKO24" s="246"/>
      <c r="DKP24" s="246"/>
      <c r="DKQ24" s="246"/>
      <c r="DKR24" s="246"/>
      <c r="DKS24" s="246"/>
      <c r="DKT24" s="246"/>
      <c r="DKU24" s="246"/>
      <c r="DKV24" s="246"/>
      <c r="DKW24" s="246"/>
      <c r="DKX24" s="246"/>
      <c r="DKY24" s="246"/>
      <c r="DKZ24" s="246"/>
      <c r="DLA24" s="246"/>
      <c r="DLB24" s="246"/>
      <c r="DLC24" s="246"/>
      <c r="DLD24" s="246"/>
      <c r="DLE24" s="246"/>
      <c r="DLF24" s="246"/>
      <c r="DLG24" s="246"/>
      <c r="DLH24" s="246"/>
      <c r="DLI24" s="246"/>
      <c r="DLJ24" s="246"/>
      <c r="DLK24" s="246"/>
      <c r="DLL24" s="246"/>
      <c r="DLM24" s="246"/>
      <c r="DLN24" s="246"/>
      <c r="DLO24" s="246"/>
      <c r="DLP24" s="246"/>
      <c r="DLQ24" s="246"/>
      <c r="DLR24" s="246"/>
      <c r="DLS24" s="246"/>
      <c r="DLT24" s="246"/>
      <c r="DLU24" s="246"/>
      <c r="DLV24" s="246"/>
      <c r="DLW24" s="246"/>
      <c r="DLX24" s="246"/>
      <c r="DLY24" s="246"/>
      <c r="DLZ24" s="246"/>
      <c r="DMA24" s="246"/>
      <c r="DMB24" s="246"/>
      <c r="DMC24" s="246"/>
      <c r="DMD24" s="246"/>
      <c r="DME24" s="246"/>
      <c r="DMF24" s="246"/>
      <c r="DMG24" s="246"/>
      <c r="DMH24" s="246"/>
      <c r="DMI24" s="246"/>
      <c r="DMJ24" s="246"/>
      <c r="DMK24" s="246"/>
      <c r="DML24" s="246"/>
      <c r="DMM24" s="246"/>
      <c r="DMN24" s="246"/>
      <c r="DMO24" s="246"/>
      <c r="DMP24" s="246"/>
      <c r="DMQ24" s="246"/>
      <c r="DMR24" s="246"/>
      <c r="DMS24" s="246"/>
      <c r="DMT24" s="246"/>
      <c r="DMU24" s="246"/>
      <c r="DMV24" s="246"/>
      <c r="DMW24" s="246"/>
      <c r="DMX24" s="246"/>
      <c r="DMY24" s="246"/>
      <c r="DMZ24" s="246"/>
      <c r="DNA24" s="246"/>
      <c r="DNB24" s="246"/>
      <c r="DNC24" s="246"/>
      <c r="DND24" s="246"/>
      <c r="DNE24" s="246"/>
      <c r="DNF24" s="246"/>
      <c r="DNG24" s="246"/>
      <c r="DNH24" s="246"/>
      <c r="DNI24" s="246"/>
      <c r="DNJ24" s="246"/>
      <c r="DNK24" s="246"/>
      <c r="DNL24" s="246"/>
      <c r="DNM24" s="246"/>
      <c r="DNN24" s="246"/>
      <c r="DNO24" s="246"/>
      <c r="DNP24" s="246"/>
      <c r="DNQ24" s="246"/>
      <c r="DNR24" s="246"/>
      <c r="DNS24" s="246"/>
      <c r="DNT24" s="246"/>
      <c r="DNU24" s="246"/>
      <c r="DNV24" s="246"/>
      <c r="DNW24" s="246"/>
      <c r="DNX24" s="246"/>
      <c r="DNY24" s="246"/>
      <c r="DNZ24" s="246"/>
      <c r="DOA24" s="246"/>
      <c r="DOB24" s="246"/>
      <c r="DOC24" s="246"/>
      <c r="DOD24" s="246"/>
      <c r="DOE24" s="246"/>
      <c r="DOF24" s="246"/>
      <c r="DOG24" s="246"/>
      <c r="DOH24" s="246"/>
      <c r="DOI24" s="246"/>
      <c r="DOJ24" s="246"/>
      <c r="DOK24" s="246"/>
      <c r="DOL24" s="246"/>
      <c r="DOM24" s="246"/>
      <c r="DON24" s="246"/>
      <c r="DOO24" s="246"/>
      <c r="DOP24" s="246"/>
      <c r="DOQ24" s="246"/>
      <c r="DOR24" s="246"/>
      <c r="DOS24" s="246"/>
      <c r="DOT24" s="246"/>
      <c r="DOU24" s="246"/>
      <c r="DOV24" s="246"/>
      <c r="DOW24" s="246"/>
      <c r="DOX24" s="246"/>
      <c r="DOY24" s="246"/>
      <c r="DOZ24" s="246"/>
      <c r="DPA24" s="246"/>
      <c r="DPB24" s="246"/>
      <c r="DPC24" s="246"/>
      <c r="DPD24" s="246"/>
      <c r="DPE24" s="246"/>
      <c r="DPF24" s="246"/>
      <c r="DPG24" s="246"/>
      <c r="DPH24" s="246"/>
      <c r="DPI24" s="246"/>
      <c r="DPJ24" s="246"/>
      <c r="DPK24" s="246"/>
      <c r="DPL24" s="246"/>
      <c r="DPM24" s="246"/>
      <c r="DPN24" s="246"/>
      <c r="DPO24" s="246"/>
      <c r="DPP24" s="246"/>
      <c r="DPQ24" s="246"/>
      <c r="DPR24" s="246"/>
      <c r="DPS24" s="246"/>
      <c r="DPT24" s="246"/>
      <c r="DPU24" s="246"/>
      <c r="DPV24" s="246"/>
      <c r="DPW24" s="246"/>
      <c r="DPX24" s="246"/>
      <c r="DPY24" s="246"/>
      <c r="DPZ24" s="246"/>
      <c r="DQA24" s="246"/>
      <c r="DQB24" s="246"/>
      <c r="DQC24" s="246"/>
      <c r="DQD24" s="246"/>
      <c r="DQE24" s="246"/>
      <c r="DQF24" s="246"/>
      <c r="DQG24" s="246"/>
      <c r="DQH24" s="246"/>
      <c r="DQI24" s="246"/>
      <c r="DQJ24" s="246"/>
      <c r="DQK24" s="246"/>
      <c r="DQL24" s="246"/>
      <c r="DQM24" s="246"/>
      <c r="DQN24" s="246"/>
      <c r="DQO24" s="246"/>
      <c r="DQP24" s="246"/>
      <c r="DQQ24" s="246"/>
      <c r="DQR24" s="246"/>
      <c r="DQS24" s="246"/>
      <c r="DQT24" s="246"/>
      <c r="DQU24" s="246"/>
      <c r="DQV24" s="246"/>
      <c r="DQW24" s="246"/>
      <c r="DQX24" s="246"/>
      <c r="DQY24" s="246"/>
      <c r="DQZ24" s="246"/>
      <c r="DRA24" s="246"/>
      <c r="DRB24" s="246"/>
      <c r="DRC24" s="246"/>
      <c r="DRD24" s="246"/>
      <c r="DRE24" s="246"/>
      <c r="DRF24" s="246"/>
      <c r="DRG24" s="246"/>
      <c r="DRH24" s="246"/>
      <c r="DRI24" s="246"/>
      <c r="DRJ24" s="246"/>
      <c r="DRK24" s="246"/>
      <c r="DRL24" s="246"/>
      <c r="DRM24" s="246"/>
      <c r="DRN24" s="246"/>
      <c r="DRO24" s="246"/>
      <c r="DRP24" s="246"/>
      <c r="DRQ24" s="246"/>
      <c r="DRR24" s="246"/>
      <c r="DRS24" s="246"/>
      <c r="DRT24" s="246"/>
      <c r="DRU24" s="246"/>
      <c r="DRV24" s="246"/>
      <c r="DRW24" s="246"/>
      <c r="DRX24" s="246"/>
      <c r="DRY24" s="246"/>
      <c r="DRZ24" s="246"/>
      <c r="DSA24" s="246"/>
      <c r="DSB24" s="246"/>
      <c r="DSC24" s="246"/>
      <c r="DSD24" s="246"/>
      <c r="DSE24" s="246"/>
      <c r="DSF24" s="246"/>
      <c r="DSG24" s="246"/>
      <c r="DSH24" s="246"/>
      <c r="DSI24" s="246"/>
      <c r="DSJ24" s="246"/>
      <c r="DSK24" s="246"/>
      <c r="DSL24" s="246"/>
      <c r="DSM24" s="246"/>
      <c r="DSN24" s="246"/>
      <c r="DSO24" s="246"/>
      <c r="DSP24" s="246"/>
      <c r="DSQ24" s="246"/>
      <c r="DSR24" s="246"/>
      <c r="DSS24" s="246"/>
      <c r="DST24" s="246"/>
      <c r="DSU24" s="246"/>
      <c r="DSV24" s="246"/>
      <c r="DSW24" s="246"/>
      <c r="DSX24" s="246"/>
      <c r="DSY24" s="246"/>
      <c r="DSZ24" s="246"/>
      <c r="DTA24" s="246"/>
      <c r="DTB24" s="246"/>
      <c r="DTC24" s="246"/>
      <c r="DTD24" s="246"/>
      <c r="DTE24" s="246"/>
      <c r="DTF24" s="246"/>
      <c r="DTG24" s="246"/>
      <c r="DTH24" s="246"/>
      <c r="DTI24" s="246"/>
      <c r="DTJ24" s="246"/>
      <c r="DTK24" s="246"/>
      <c r="DTL24" s="246"/>
      <c r="DTM24" s="246"/>
      <c r="DTN24" s="246"/>
      <c r="DTO24" s="246"/>
      <c r="DTP24" s="246"/>
      <c r="DTQ24" s="246"/>
      <c r="DTR24" s="246"/>
      <c r="DTS24" s="246"/>
      <c r="DTT24" s="246"/>
      <c r="DTU24" s="246"/>
      <c r="DTV24" s="246"/>
      <c r="DTW24" s="246"/>
      <c r="DTX24" s="246"/>
      <c r="DTY24" s="246"/>
      <c r="DTZ24" s="246"/>
      <c r="DUA24" s="246"/>
      <c r="DUB24" s="246"/>
      <c r="DUC24" s="246"/>
      <c r="DUD24" s="246"/>
      <c r="DUE24" s="246"/>
      <c r="DUF24" s="246"/>
      <c r="DUG24" s="246"/>
      <c r="DUH24" s="246"/>
      <c r="DUI24" s="246"/>
      <c r="DUJ24" s="246"/>
      <c r="DUK24" s="246"/>
      <c r="DUL24" s="246"/>
      <c r="DUM24" s="246"/>
      <c r="DUN24" s="246"/>
      <c r="DUO24" s="246"/>
      <c r="DUP24" s="246"/>
      <c r="DUQ24" s="246"/>
      <c r="DUR24" s="246"/>
      <c r="DUS24" s="246"/>
      <c r="DUT24" s="246"/>
      <c r="DUU24" s="246"/>
      <c r="DUV24" s="246"/>
      <c r="DUW24" s="246"/>
      <c r="DUX24" s="246"/>
      <c r="DUY24" s="246"/>
      <c r="DUZ24" s="246"/>
      <c r="DVA24" s="246"/>
      <c r="DVB24" s="246"/>
      <c r="DVC24" s="246"/>
      <c r="DVD24" s="246"/>
      <c r="DVE24" s="246"/>
      <c r="DVF24" s="246"/>
      <c r="DVG24" s="246"/>
      <c r="DVH24" s="246"/>
      <c r="DVI24" s="246"/>
      <c r="DVJ24" s="246"/>
      <c r="DVK24" s="246"/>
      <c r="DVL24" s="246"/>
      <c r="DVM24" s="246"/>
      <c r="DVN24" s="246"/>
      <c r="DVO24" s="246"/>
      <c r="DVP24" s="246"/>
      <c r="DVQ24" s="246"/>
      <c r="DVR24" s="246"/>
      <c r="DVS24" s="246"/>
      <c r="DVT24" s="246"/>
      <c r="DVU24" s="246"/>
      <c r="DVV24" s="246"/>
      <c r="DVW24" s="246"/>
      <c r="DVX24" s="246"/>
      <c r="DVY24" s="246"/>
      <c r="DVZ24" s="246"/>
      <c r="DWA24" s="246"/>
      <c r="DWB24" s="246"/>
      <c r="DWC24" s="246"/>
      <c r="DWD24" s="246"/>
      <c r="DWE24" s="246"/>
      <c r="DWF24" s="246"/>
      <c r="DWG24" s="246"/>
      <c r="DWH24" s="246"/>
      <c r="DWI24" s="246"/>
      <c r="DWJ24" s="246"/>
      <c r="DWK24" s="246"/>
      <c r="DWL24" s="246"/>
      <c r="DWM24" s="246"/>
      <c r="DWN24" s="246"/>
      <c r="DWO24" s="246"/>
      <c r="DWP24" s="246"/>
      <c r="DWQ24" s="246"/>
      <c r="DWR24" s="246"/>
      <c r="DWS24" s="246"/>
      <c r="DWT24" s="246"/>
      <c r="DWU24" s="246"/>
      <c r="DWV24" s="246"/>
      <c r="DWW24" s="246"/>
      <c r="DWX24" s="246"/>
      <c r="DWY24" s="246"/>
      <c r="DWZ24" s="246"/>
      <c r="DXA24" s="246"/>
      <c r="DXB24" s="246"/>
      <c r="DXC24" s="246"/>
      <c r="DXD24" s="246"/>
      <c r="DXE24" s="246"/>
      <c r="DXF24" s="246"/>
      <c r="DXG24" s="246"/>
      <c r="DXH24" s="246"/>
      <c r="DXI24" s="246"/>
      <c r="DXJ24" s="246"/>
      <c r="DXK24" s="246"/>
      <c r="DXL24" s="246"/>
      <c r="DXM24" s="246"/>
      <c r="DXN24" s="246"/>
      <c r="DXO24" s="246"/>
      <c r="DXP24" s="246"/>
      <c r="DXQ24" s="246"/>
      <c r="DXR24" s="246"/>
      <c r="DXS24" s="246"/>
      <c r="DXT24" s="246"/>
      <c r="DXU24" s="246"/>
      <c r="DXV24" s="246"/>
      <c r="DXW24" s="246"/>
      <c r="DXX24" s="246"/>
      <c r="DXY24" s="246"/>
      <c r="DXZ24" s="246"/>
      <c r="DYA24" s="246"/>
      <c r="DYB24" s="246"/>
      <c r="DYC24" s="246"/>
      <c r="DYD24" s="246"/>
      <c r="DYE24" s="246"/>
      <c r="DYF24" s="246"/>
      <c r="DYG24" s="246"/>
      <c r="DYH24" s="246"/>
      <c r="DYI24" s="246"/>
      <c r="DYJ24" s="246"/>
      <c r="DYK24" s="246"/>
      <c r="DYL24" s="246"/>
      <c r="DYM24" s="246"/>
      <c r="DYN24" s="246"/>
      <c r="DYO24" s="246"/>
      <c r="DYP24" s="246"/>
      <c r="DYQ24" s="246"/>
      <c r="DYR24" s="246"/>
      <c r="DYS24" s="246"/>
      <c r="DYT24" s="246"/>
      <c r="DYU24" s="246"/>
      <c r="DYV24" s="246"/>
      <c r="DYW24" s="246"/>
      <c r="DYX24" s="246"/>
      <c r="DYY24" s="246"/>
      <c r="DYZ24" s="246"/>
      <c r="DZA24" s="246"/>
      <c r="DZB24" s="246"/>
      <c r="DZC24" s="246"/>
      <c r="DZD24" s="246"/>
      <c r="DZE24" s="246"/>
      <c r="DZF24" s="246"/>
      <c r="DZG24" s="246"/>
      <c r="DZH24" s="246"/>
      <c r="DZI24" s="246"/>
      <c r="DZJ24" s="246"/>
      <c r="DZK24" s="246"/>
      <c r="DZL24" s="246"/>
      <c r="DZM24" s="246"/>
      <c r="DZN24" s="246"/>
      <c r="DZO24" s="246"/>
      <c r="DZP24" s="246"/>
      <c r="DZQ24" s="246"/>
      <c r="DZR24" s="246"/>
      <c r="DZS24" s="246"/>
      <c r="DZT24" s="246"/>
      <c r="DZU24" s="246"/>
      <c r="DZV24" s="246"/>
      <c r="DZW24" s="246"/>
      <c r="DZX24" s="246"/>
      <c r="DZY24" s="246"/>
      <c r="DZZ24" s="246"/>
      <c r="EAA24" s="246"/>
      <c r="EAB24" s="246"/>
      <c r="EAC24" s="246"/>
      <c r="EAD24" s="246"/>
      <c r="EAE24" s="246"/>
      <c r="EAF24" s="246"/>
      <c r="EAG24" s="246"/>
      <c r="EAH24" s="246"/>
      <c r="EAI24" s="246"/>
      <c r="EAJ24" s="246"/>
      <c r="EAK24" s="246"/>
      <c r="EAL24" s="246"/>
      <c r="EAM24" s="246"/>
      <c r="EAN24" s="246"/>
      <c r="EAO24" s="246"/>
      <c r="EAP24" s="246"/>
      <c r="EAQ24" s="246"/>
      <c r="EAR24" s="246"/>
      <c r="EAS24" s="246"/>
      <c r="EAT24" s="246"/>
      <c r="EAU24" s="246"/>
      <c r="EAV24" s="246"/>
      <c r="EAW24" s="246"/>
      <c r="EAX24" s="246"/>
      <c r="EAY24" s="246"/>
      <c r="EAZ24" s="246"/>
      <c r="EBA24" s="246"/>
      <c r="EBB24" s="246"/>
      <c r="EBC24" s="246"/>
      <c r="EBD24" s="246"/>
      <c r="EBE24" s="246"/>
      <c r="EBF24" s="246"/>
      <c r="EBG24" s="246"/>
      <c r="EBH24" s="246"/>
      <c r="EBI24" s="246"/>
      <c r="EBJ24" s="246"/>
      <c r="EBK24" s="246"/>
      <c r="EBL24" s="246"/>
      <c r="EBM24" s="246"/>
      <c r="EBN24" s="246"/>
      <c r="EBO24" s="246"/>
      <c r="EBP24" s="246"/>
      <c r="EBQ24" s="246"/>
      <c r="EBR24" s="246"/>
      <c r="EBS24" s="246"/>
      <c r="EBT24" s="246"/>
      <c r="EBU24" s="246"/>
      <c r="EBV24" s="246"/>
      <c r="EBW24" s="246"/>
      <c r="EBX24" s="246"/>
      <c r="EBY24" s="246"/>
      <c r="EBZ24" s="246"/>
      <c r="ECA24" s="246"/>
      <c r="ECB24" s="246"/>
      <c r="ECC24" s="246"/>
      <c r="ECD24" s="246"/>
      <c r="ECE24" s="246"/>
      <c r="ECF24" s="246"/>
      <c r="ECG24" s="246"/>
      <c r="ECH24" s="246"/>
      <c r="ECI24" s="246"/>
      <c r="ECJ24" s="246"/>
      <c r="ECK24" s="246"/>
      <c r="ECL24" s="246"/>
      <c r="ECM24" s="246"/>
      <c r="ECN24" s="246"/>
      <c r="ECO24" s="246"/>
      <c r="ECP24" s="246"/>
      <c r="ECQ24" s="246"/>
      <c r="ECR24" s="246"/>
      <c r="ECS24" s="246"/>
      <c r="ECT24" s="246"/>
      <c r="ECU24" s="246"/>
      <c r="ECV24" s="246"/>
      <c r="ECW24" s="246"/>
      <c r="ECX24" s="246"/>
      <c r="ECY24" s="246"/>
      <c r="ECZ24" s="246"/>
      <c r="EDA24" s="246"/>
      <c r="EDB24" s="246"/>
      <c r="EDC24" s="246"/>
      <c r="EDD24" s="246"/>
      <c r="EDE24" s="246"/>
      <c r="EDF24" s="246"/>
      <c r="EDG24" s="246"/>
      <c r="EDH24" s="246"/>
      <c r="EDI24" s="246"/>
      <c r="EDJ24" s="246"/>
      <c r="EDK24" s="246"/>
      <c r="EDL24" s="246"/>
      <c r="EDM24" s="246"/>
      <c r="EDN24" s="246"/>
      <c r="EDO24" s="246"/>
      <c r="EDP24" s="246"/>
      <c r="EDQ24" s="246"/>
      <c r="EDR24" s="246"/>
      <c r="EDS24" s="246"/>
      <c r="EDT24" s="246"/>
      <c r="EDU24" s="246"/>
      <c r="EDV24" s="246"/>
      <c r="EDW24" s="246"/>
      <c r="EDX24" s="246"/>
      <c r="EDY24" s="246"/>
      <c r="EDZ24" s="246"/>
      <c r="EEA24" s="246"/>
      <c r="EEB24" s="246"/>
      <c r="EEC24" s="246"/>
      <c r="EED24" s="246"/>
      <c r="EEE24" s="246"/>
      <c r="EEF24" s="246"/>
      <c r="EEG24" s="246"/>
      <c r="EEH24" s="246"/>
      <c r="EEI24" s="246"/>
      <c r="EEJ24" s="246"/>
      <c r="EEK24" s="246"/>
      <c r="EEL24" s="246"/>
      <c r="EEM24" s="246"/>
      <c r="EEN24" s="246"/>
      <c r="EEO24" s="246"/>
      <c r="EEP24" s="246"/>
      <c r="EEQ24" s="246"/>
      <c r="EER24" s="246"/>
      <c r="EES24" s="246"/>
      <c r="EET24" s="246"/>
      <c r="EEU24" s="246"/>
      <c r="EEV24" s="246"/>
      <c r="EEW24" s="246"/>
      <c r="EEX24" s="246"/>
      <c r="EEY24" s="246"/>
      <c r="EEZ24" s="246"/>
      <c r="EFA24" s="246"/>
      <c r="EFB24" s="246"/>
      <c r="EFC24" s="246"/>
      <c r="EFD24" s="246"/>
      <c r="EFE24" s="246"/>
      <c r="EFF24" s="246"/>
      <c r="EFG24" s="246"/>
      <c r="EFH24" s="246"/>
      <c r="EFI24" s="246"/>
      <c r="EFJ24" s="246"/>
      <c r="EFK24" s="246"/>
      <c r="EFL24" s="246"/>
      <c r="EFM24" s="246"/>
      <c r="EFN24" s="246"/>
      <c r="EFO24" s="246"/>
      <c r="EFP24" s="246"/>
      <c r="EFQ24" s="246"/>
      <c r="EFR24" s="246"/>
      <c r="EFS24" s="246"/>
      <c r="EFT24" s="246"/>
      <c r="EFU24" s="246"/>
      <c r="EFV24" s="246"/>
      <c r="EFW24" s="246"/>
      <c r="EFX24" s="246"/>
      <c r="EFY24" s="246"/>
      <c r="EFZ24" s="246"/>
      <c r="EGA24" s="246"/>
      <c r="EGB24" s="246"/>
      <c r="EGC24" s="246"/>
      <c r="EGD24" s="246"/>
      <c r="EGE24" s="246"/>
      <c r="EGF24" s="246"/>
      <c r="EGG24" s="246"/>
      <c r="EGH24" s="246"/>
      <c r="EGI24" s="246"/>
      <c r="EGJ24" s="246"/>
      <c r="EGK24" s="246"/>
      <c r="EGL24" s="246"/>
      <c r="EGM24" s="246"/>
      <c r="EGN24" s="246"/>
      <c r="EGO24" s="246"/>
      <c r="EGP24" s="246"/>
      <c r="EGQ24" s="246"/>
      <c r="EGR24" s="246"/>
      <c r="EGS24" s="246"/>
      <c r="EGT24" s="246"/>
      <c r="EGU24" s="246"/>
      <c r="EGV24" s="246"/>
      <c r="EGW24" s="246"/>
      <c r="EGX24" s="246"/>
      <c r="EGY24" s="246"/>
      <c r="EGZ24" s="246"/>
      <c r="EHA24" s="246"/>
      <c r="EHB24" s="246"/>
      <c r="EHC24" s="246"/>
      <c r="EHD24" s="246"/>
      <c r="EHE24" s="246"/>
      <c r="EHF24" s="246"/>
      <c r="EHG24" s="246"/>
      <c r="EHH24" s="246"/>
      <c r="EHI24" s="246"/>
      <c r="EHJ24" s="246"/>
      <c r="EHK24" s="246"/>
      <c r="EHL24" s="246"/>
      <c r="EHM24" s="246"/>
      <c r="EHN24" s="246"/>
      <c r="EHO24" s="246"/>
      <c r="EHP24" s="246"/>
      <c r="EHQ24" s="246"/>
      <c r="EHR24" s="246"/>
      <c r="EHS24" s="246"/>
      <c r="EHT24" s="246"/>
      <c r="EHU24" s="246"/>
      <c r="EHV24" s="246"/>
      <c r="EHW24" s="246"/>
      <c r="EHX24" s="246"/>
      <c r="EHY24" s="246"/>
      <c r="EHZ24" s="246"/>
      <c r="EIA24" s="246"/>
      <c r="EIB24" s="246"/>
      <c r="EIC24" s="246"/>
      <c r="EID24" s="246"/>
      <c r="EIE24" s="246"/>
      <c r="EIF24" s="246"/>
      <c r="EIG24" s="246"/>
      <c r="EIH24" s="246"/>
      <c r="EII24" s="246"/>
      <c r="EIJ24" s="246"/>
      <c r="EIK24" s="246"/>
      <c r="EIL24" s="246"/>
      <c r="EIM24" s="246"/>
      <c r="EIN24" s="246"/>
      <c r="EIO24" s="246"/>
      <c r="EIP24" s="246"/>
      <c r="EIQ24" s="246"/>
      <c r="EIR24" s="246"/>
      <c r="EIS24" s="246"/>
      <c r="EIT24" s="246"/>
      <c r="EIU24" s="246"/>
      <c r="EIV24" s="246"/>
      <c r="EIW24" s="246"/>
      <c r="EIX24" s="246"/>
      <c r="EIY24" s="246"/>
      <c r="EIZ24" s="246"/>
      <c r="EJA24" s="246"/>
      <c r="EJB24" s="246"/>
      <c r="EJC24" s="246"/>
      <c r="EJD24" s="246"/>
      <c r="EJE24" s="246"/>
      <c r="EJF24" s="246"/>
      <c r="EJG24" s="246"/>
      <c r="EJH24" s="246"/>
      <c r="EJI24" s="246"/>
      <c r="EJJ24" s="246"/>
      <c r="EJK24" s="246"/>
      <c r="EJL24" s="246"/>
      <c r="EJM24" s="246"/>
      <c r="EJN24" s="246"/>
      <c r="EJO24" s="246"/>
      <c r="EJP24" s="246"/>
      <c r="EJQ24" s="246"/>
      <c r="EJR24" s="246"/>
      <c r="EJS24" s="246"/>
      <c r="EJT24" s="246"/>
      <c r="EJU24" s="246"/>
      <c r="EJV24" s="246"/>
      <c r="EJW24" s="246"/>
      <c r="EJX24" s="246"/>
      <c r="EJY24" s="246"/>
      <c r="EJZ24" s="246"/>
      <c r="EKA24" s="246"/>
      <c r="EKB24" s="246"/>
      <c r="EKC24" s="246"/>
      <c r="EKD24" s="246"/>
      <c r="EKE24" s="246"/>
      <c r="EKF24" s="246"/>
      <c r="EKG24" s="246"/>
      <c r="EKH24" s="246"/>
      <c r="EKI24" s="246"/>
      <c r="EKJ24" s="246"/>
      <c r="EKK24" s="246"/>
      <c r="EKL24" s="246"/>
      <c r="EKM24" s="246"/>
      <c r="EKN24" s="246"/>
      <c r="EKO24" s="246"/>
      <c r="EKP24" s="246"/>
      <c r="EKQ24" s="246"/>
      <c r="EKR24" s="246"/>
      <c r="EKS24" s="246"/>
      <c r="EKT24" s="246"/>
      <c r="EKU24" s="246"/>
      <c r="EKV24" s="246"/>
      <c r="EKW24" s="246"/>
      <c r="EKX24" s="246"/>
      <c r="EKY24" s="246"/>
      <c r="EKZ24" s="246"/>
      <c r="ELA24" s="246"/>
      <c r="ELB24" s="246"/>
      <c r="ELC24" s="246"/>
      <c r="ELD24" s="246"/>
      <c r="ELE24" s="246"/>
      <c r="ELF24" s="246"/>
      <c r="ELG24" s="246"/>
      <c r="ELH24" s="246"/>
      <c r="ELI24" s="246"/>
      <c r="ELJ24" s="246"/>
      <c r="ELK24" s="246"/>
      <c r="ELL24" s="246"/>
      <c r="ELM24" s="246"/>
      <c r="ELN24" s="246"/>
      <c r="ELO24" s="246"/>
      <c r="ELP24" s="246"/>
      <c r="ELQ24" s="246"/>
      <c r="ELR24" s="246"/>
      <c r="ELS24" s="246"/>
      <c r="ELT24" s="246"/>
      <c r="ELU24" s="246"/>
      <c r="ELV24" s="246"/>
      <c r="ELW24" s="246"/>
      <c r="ELX24" s="246"/>
      <c r="ELY24" s="246"/>
      <c r="ELZ24" s="246"/>
      <c r="EMA24" s="246"/>
      <c r="EMB24" s="246"/>
      <c r="EMC24" s="246"/>
      <c r="EMD24" s="246"/>
      <c r="EME24" s="246"/>
      <c r="EMF24" s="246"/>
      <c r="EMG24" s="246"/>
      <c r="EMH24" s="246"/>
      <c r="EMI24" s="246"/>
      <c r="EMJ24" s="246"/>
      <c r="EMK24" s="246"/>
      <c r="EML24" s="246"/>
      <c r="EMM24" s="246"/>
      <c r="EMN24" s="246"/>
      <c r="EMO24" s="246"/>
      <c r="EMP24" s="246"/>
      <c r="EMQ24" s="246"/>
      <c r="EMR24" s="246"/>
      <c r="EMS24" s="246"/>
      <c r="EMT24" s="246"/>
      <c r="EMU24" s="246"/>
      <c r="EMV24" s="246"/>
      <c r="EMW24" s="246"/>
      <c r="EMX24" s="246"/>
      <c r="EMY24" s="246"/>
      <c r="EMZ24" s="246"/>
      <c r="ENA24" s="246"/>
      <c r="ENB24" s="246"/>
      <c r="ENC24" s="246"/>
      <c r="END24" s="246"/>
      <c r="ENE24" s="246"/>
      <c r="ENF24" s="246"/>
      <c r="ENG24" s="246"/>
      <c r="ENH24" s="246"/>
      <c r="ENI24" s="246"/>
      <c r="ENJ24" s="246"/>
      <c r="ENK24" s="246"/>
      <c r="ENL24" s="246"/>
      <c r="ENM24" s="246"/>
      <c r="ENN24" s="246"/>
      <c r="ENO24" s="246"/>
      <c r="ENP24" s="246"/>
      <c r="ENQ24" s="246"/>
      <c r="ENR24" s="246"/>
      <c r="ENS24" s="246"/>
      <c r="ENT24" s="246"/>
      <c r="ENU24" s="246"/>
      <c r="ENV24" s="246"/>
      <c r="ENW24" s="246"/>
      <c r="ENX24" s="246"/>
      <c r="ENY24" s="246"/>
      <c r="ENZ24" s="246"/>
      <c r="EOA24" s="246"/>
      <c r="EOB24" s="246"/>
      <c r="EOC24" s="246"/>
      <c r="EOD24" s="246"/>
      <c r="EOE24" s="246"/>
      <c r="EOF24" s="246"/>
      <c r="EOG24" s="246"/>
      <c r="EOH24" s="246"/>
      <c r="EOI24" s="246"/>
      <c r="EOJ24" s="246"/>
      <c r="EOK24" s="246"/>
      <c r="EOL24" s="246"/>
      <c r="EOM24" s="246"/>
      <c r="EON24" s="246"/>
      <c r="EOO24" s="246"/>
      <c r="EOP24" s="246"/>
      <c r="EOQ24" s="246"/>
      <c r="EOR24" s="246"/>
      <c r="EOS24" s="246"/>
      <c r="EOT24" s="246"/>
      <c r="EOU24" s="246"/>
      <c r="EOV24" s="246"/>
      <c r="EOW24" s="246"/>
      <c r="EOX24" s="246"/>
      <c r="EOY24" s="246"/>
      <c r="EOZ24" s="246"/>
      <c r="EPA24" s="246"/>
      <c r="EPB24" s="246"/>
      <c r="EPC24" s="246"/>
      <c r="EPD24" s="246"/>
      <c r="EPE24" s="246"/>
      <c r="EPF24" s="246"/>
      <c r="EPG24" s="246"/>
      <c r="EPH24" s="246"/>
      <c r="EPI24" s="246"/>
      <c r="EPJ24" s="246"/>
      <c r="EPK24" s="246"/>
      <c r="EPL24" s="246"/>
      <c r="EPM24" s="246"/>
      <c r="EPN24" s="246"/>
      <c r="EPO24" s="246"/>
      <c r="EPP24" s="246"/>
      <c r="EPQ24" s="246"/>
      <c r="EPR24" s="246"/>
      <c r="EPS24" s="246"/>
      <c r="EPT24" s="246"/>
      <c r="EPU24" s="246"/>
      <c r="EPV24" s="246"/>
      <c r="EPW24" s="246"/>
      <c r="EPX24" s="246"/>
      <c r="EPY24" s="246"/>
      <c r="EPZ24" s="246"/>
      <c r="EQA24" s="246"/>
      <c r="EQB24" s="246"/>
      <c r="EQC24" s="246"/>
      <c r="EQD24" s="246"/>
      <c r="EQE24" s="246"/>
      <c r="EQF24" s="246"/>
      <c r="EQG24" s="246"/>
      <c r="EQH24" s="246"/>
      <c r="EQI24" s="246"/>
      <c r="EQJ24" s="246"/>
      <c r="EQK24" s="246"/>
      <c r="EQL24" s="246"/>
      <c r="EQM24" s="246"/>
      <c r="EQN24" s="246"/>
      <c r="EQO24" s="246"/>
      <c r="EQP24" s="246"/>
      <c r="EQQ24" s="246"/>
      <c r="EQR24" s="246"/>
      <c r="EQS24" s="246"/>
      <c r="EQT24" s="246"/>
      <c r="EQU24" s="246"/>
      <c r="EQV24" s="246"/>
      <c r="EQW24" s="246"/>
      <c r="EQX24" s="246"/>
      <c r="EQY24" s="246"/>
      <c r="EQZ24" s="246"/>
      <c r="ERA24" s="246"/>
      <c r="ERB24" s="246"/>
      <c r="ERC24" s="246"/>
      <c r="ERD24" s="246"/>
      <c r="ERE24" s="246"/>
      <c r="ERF24" s="246"/>
      <c r="ERG24" s="246"/>
      <c r="ERH24" s="246"/>
      <c r="ERI24" s="246"/>
      <c r="ERJ24" s="246"/>
      <c r="ERK24" s="246"/>
      <c r="ERL24" s="246"/>
      <c r="ERM24" s="246"/>
      <c r="ERN24" s="246"/>
      <c r="ERO24" s="246"/>
      <c r="ERP24" s="246"/>
      <c r="ERQ24" s="246"/>
      <c r="ERR24" s="246"/>
      <c r="ERS24" s="246"/>
      <c r="ERT24" s="246"/>
      <c r="ERU24" s="246"/>
      <c r="ERV24" s="246"/>
      <c r="ERW24" s="246"/>
      <c r="ERX24" s="246"/>
      <c r="ERY24" s="246"/>
      <c r="ERZ24" s="246"/>
      <c r="ESA24" s="246"/>
      <c r="ESB24" s="246"/>
      <c r="ESC24" s="246"/>
      <c r="ESD24" s="246"/>
      <c r="ESE24" s="246"/>
      <c r="ESF24" s="246"/>
      <c r="ESG24" s="246"/>
      <c r="ESH24" s="246"/>
      <c r="ESI24" s="246"/>
      <c r="ESJ24" s="246"/>
      <c r="ESK24" s="246"/>
      <c r="ESL24" s="246"/>
      <c r="ESM24" s="246"/>
      <c r="ESN24" s="246"/>
      <c r="ESO24" s="246"/>
      <c r="ESP24" s="246"/>
      <c r="ESQ24" s="246"/>
      <c r="ESR24" s="246"/>
      <c r="ESS24" s="246"/>
      <c r="EST24" s="246"/>
      <c r="ESU24" s="246"/>
      <c r="ESV24" s="246"/>
      <c r="ESW24" s="246"/>
      <c r="ESX24" s="246"/>
      <c r="ESY24" s="246"/>
      <c r="ESZ24" s="246"/>
      <c r="ETA24" s="246"/>
      <c r="ETB24" s="246"/>
      <c r="ETC24" s="246"/>
      <c r="ETD24" s="246"/>
      <c r="ETE24" s="246"/>
      <c r="ETF24" s="246"/>
      <c r="ETG24" s="246"/>
      <c r="ETH24" s="246"/>
      <c r="ETI24" s="246"/>
      <c r="ETJ24" s="246"/>
      <c r="ETK24" s="246"/>
      <c r="ETL24" s="246"/>
      <c r="ETM24" s="246"/>
      <c r="ETN24" s="246"/>
      <c r="ETO24" s="246"/>
      <c r="ETP24" s="246"/>
      <c r="ETQ24" s="246"/>
      <c r="ETR24" s="246"/>
      <c r="ETS24" s="246"/>
      <c r="ETT24" s="246"/>
      <c r="ETU24" s="246"/>
      <c r="ETV24" s="246"/>
      <c r="ETW24" s="246"/>
      <c r="ETX24" s="246"/>
      <c r="ETY24" s="246"/>
      <c r="ETZ24" s="246"/>
      <c r="EUA24" s="246"/>
      <c r="EUB24" s="246"/>
      <c r="EUC24" s="246"/>
      <c r="EUD24" s="246"/>
      <c r="EUE24" s="246"/>
      <c r="EUF24" s="246"/>
      <c r="EUG24" s="246"/>
      <c r="EUH24" s="246"/>
      <c r="EUI24" s="246"/>
      <c r="EUJ24" s="246"/>
      <c r="EUK24" s="246"/>
      <c r="EUL24" s="246"/>
      <c r="EUM24" s="246"/>
      <c r="EUN24" s="246"/>
      <c r="EUO24" s="246"/>
      <c r="EUP24" s="246"/>
      <c r="EUQ24" s="246"/>
      <c r="EUR24" s="246"/>
      <c r="EUS24" s="246"/>
      <c r="EUT24" s="246"/>
      <c r="EUU24" s="246"/>
      <c r="EUV24" s="246"/>
      <c r="EUW24" s="246"/>
      <c r="EUX24" s="246"/>
      <c r="EUY24" s="246"/>
      <c r="EUZ24" s="246"/>
      <c r="EVA24" s="246"/>
      <c r="EVB24" s="246"/>
      <c r="EVC24" s="246"/>
      <c r="EVD24" s="246"/>
      <c r="EVE24" s="246"/>
      <c r="EVF24" s="246"/>
      <c r="EVG24" s="246"/>
      <c r="EVH24" s="246"/>
      <c r="EVI24" s="246"/>
      <c r="EVJ24" s="246"/>
      <c r="EVK24" s="246"/>
      <c r="EVL24" s="246"/>
      <c r="EVM24" s="246"/>
      <c r="EVN24" s="246"/>
      <c r="EVO24" s="246"/>
      <c r="EVP24" s="246"/>
      <c r="EVQ24" s="246"/>
      <c r="EVR24" s="246"/>
      <c r="EVS24" s="246"/>
      <c r="EVT24" s="246"/>
      <c r="EVU24" s="246"/>
      <c r="EVV24" s="246"/>
      <c r="EVW24" s="246"/>
      <c r="EVX24" s="246"/>
      <c r="EVY24" s="246"/>
      <c r="EVZ24" s="246"/>
      <c r="EWA24" s="246"/>
      <c r="EWB24" s="246"/>
      <c r="EWC24" s="246"/>
      <c r="EWD24" s="246"/>
      <c r="EWE24" s="246"/>
      <c r="EWF24" s="246"/>
      <c r="EWG24" s="246"/>
      <c r="EWH24" s="246"/>
      <c r="EWI24" s="246"/>
      <c r="EWJ24" s="246"/>
      <c r="EWK24" s="246"/>
      <c r="EWL24" s="246"/>
      <c r="EWM24" s="246"/>
      <c r="EWN24" s="246"/>
      <c r="EWO24" s="246"/>
      <c r="EWP24" s="246"/>
      <c r="EWQ24" s="246"/>
      <c r="EWR24" s="246"/>
      <c r="EWS24" s="246"/>
      <c r="EWT24" s="246"/>
      <c r="EWU24" s="246"/>
      <c r="EWV24" s="246"/>
      <c r="EWW24" s="246"/>
      <c r="EWX24" s="246"/>
      <c r="EWY24" s="246"/>
      <c r="EWZ24" s="246"/>
      <c r="EXA24" s="246"/>
      <c r="EXB24" s="246"/>
      <c r="EXC24" s="246"/>
      <c r="EXD24" s="246"/>
      <c r="EXE24" s="246"/>
      <c r="EXF24" s="246"/>
      <c r="EXG24" s="246"/>
      <c r="EXH24" s="246"/>
      <c r="EXI24" s="246"/>
      <c r="EXJ24" s="246"/>
      <c r="EXK24" s="246"/>
      <c r="EXL24" s="246"/>
      <c r="EXM24" s="246"/>
      <c r="EXN24" s="246"/>
      <c r="EXO24" s="246"/>
      <c r="EXP24" s="246"/>
      <c r="EXQ24" s="246"/>
      <c r="EXR24" s="246"/>
      <c r="EXS24" s="246"/>
      <c r="EXT24" s="246"/>
      <c r="EXU24" s="246"/>
      <c r="EXV24" s="246"/>
      <c r="EXW24" s="246"/>
      <c r="EXX24" s="246"/>
      <c r="EXY24" s="246"/>
      <c r="EXZ24" s="246"/>
      <c r="EYA24" s="246"/>
      <c r="EYB24" s="246"/>
      <c r="EYC24" s="246"/>
      <c r="EYD24" s="246"/>
      <c r="EYE24" s="246"/>
      <c r="EYF24" s="246"/>
      <c r="EYG24" s="246"/>
      <c r="EYH24" s="246"/>
      <c r="EYI24" s="246"/>
      <c r="EYJ24" s="246"/>
      <c r="EYK24" s="246"/>
      <c r="EYL24" s="246"/>
      <c r="EYM24" s="246"/>
      <c r="EYN24" s="246"/>
      <c r="EYO24" s="246"/>
      <c r="EYP24" s="246"/>
      <c r="EYQ24" s="246"/>
      <c r="EYR24" s="246"/>
      <c r="EYS24" s="246"/>
      <c r="EYT24" s="246"/>
      <c r="EYU24" s="246"/>
      <c r="EYV24" s="246"/>
      <c r="EYW24" s="246"/>
      <c r="EYX24" s="246"/>
      <c r="EYY24" s="246"/>
      <c r="EYZ24" s="246"/>
      <c r="EZA24" s="246"/>
      <c r="EZB24" s="246"/>
      <c r="EZC24" s="246"/>
      <c r="EZD24" s="246"/>
      <c r="EZE24" s="246"/>
      <c r="EZF24" s="246"/>
      <c r="EZG24" s="246"/>
      <c r="EZH24" s="246"/>
      <c r="EZI24" s="246"/>
      <c r="EZJ24" s="246"/>
      <c r="EZK24" s="246"/>
      <c r="EZL24" s="246"/>
      <c r="EZM24" s="246"/>
      <c r="EZN24" s="246"/>
      <c r="EZO24" s="246"/>
      <c r="EZP24" s="246"/>
      <c r="EZQ24" s="246"/>
      <c r="EZR24" s="246"/>
      <c r="EZS24" s="246"/>
      <c r="EZT24" s="246"/>
      <c r="EZU24" s="246"/>
      <c r="EZV24" s="246"/>
      <c r="EZW24" s="246"/>
      <c r="EZX24" s="246"/>
      <c r="EZY24" s="246"/>
      <c r="EZZ24" s="246"/>
      <c r="FAA24" s="246"/>
      <c r="FAB24" s="246"/>
      <c r="FAC24" s="246"/>
      <c r="FAD24" s="246"/>
      <c r="FAE24" s="246"/>
      <c r="FAF24" s="246"/>
      <c r="FAG24" s="246"/>
      <c r="FAH24" s="246"/>
      <c r="FAI24" s="246"/>
      <c r="FAJ24" s="246"/>
      <c r="FAK24" s="246"/>
      <c r="FAL24" s="246"/>
      <c r="FAM24" s="246"/>
      <c r="FAN24" s="246"/>
      <c r="FAO24" s="246"/>
      <c r="FAP24" s="246"/>
      <c r="FAQ24" s="246"/>
      <c r="FAR24" s="246"/>
      <c r="FAS24" s="246"/>
      <c r="FAT24" s="246"/>
      <c r="FAU24" s="246"/>
      <c r="FAV24" s="246"/>
      <c r="FAW24" s="246"/>
      <c r="FAX24" s="246"/>
      <c r="FAY24" s="246"/>
      <c r="FAZ24" s="246"/>
      <c r="FBA24" s="246"/>
      <c r="FBB24" s="246"/>
      <c r="FBC24" s="246"/>
      <c r="FBD24" s="246"/>
      <c r="FBE24" s="246"/>
      <c r="FBF24" s="246"/>
      <c r="FBG24" s="246"/>
      <c r="FBH24" s="246"/>
      <c r="FBI24" s="246"/>
      <c r="FBJ24" s="246"/>
      <c r="FBK24" s="246"/>
      <c r="FBL24" s="246"/>
      <c r="FBM24" s="246"/>
      <c r="FBN24" s="246"/>
      <c r="FBO24" s="246"/>
      <c r="FBP24" s="246"/>
      <c r="FBQ24" s="246"/>
      <c r="FBR24" s="246"/>
      <c r="FBS24" s="246"/>
      <c r="FBT24" s="246"/>
      <c r="FBU24" s="246"/>
      <c r="FBV24" s="246"/>
      <c r="FBW24" s="246"/>
      <c r="FBX24" s="246"/>
      <c r="FBY24" s="246"/>
      <c r="FBZ24" s="246"/>
      <c r="FCA24" s="246"/>
      <c r="FCB24" s="246"/>
      <c r="FCC24" s="246"/>
      <c r="FCD24" s="246"/>
      <c r="FCE24" s="246"/>
      <c r="FCF24" s="246"/>
      <c r="FCG24" s="246"/>
      <c r="FCH24" s="246"/>
      <c r="FCI24" s="246"/>
      <c r="FCJ24" s="246"/>
      <c r="FCK24" s="246"/>
      <c r="FCL24" s="246"/>
      <c r="FCM24" s="246"/>
      <c r="FCN24" s="246"/>
      <c r="FCO24" s="246"/>
      <c r="FCP24" s="246"/>
      <c r="FCQ24" s="246"/>
      <c r="FCR24" s="246"/>
      <c r="FCS24" s="246"/>
      <c r="FCT24" s="246"/>
      <c r="FCU24" s="246"/>
      <c r="FCV24" s="246"/>
      <c r="FCW24" s="246"/>
      <c r="FCX24" s="246"/>
      <c r="FCY24" s="246"/>
      <c r="FCZ24" s="246"/>
      <c r="FDA24" s="246"/>
      <c r="FDB24" s="246"/>
      <c r="FDC24" s="246"/>
      <c r="FDD24" s="246"/>
      <c r="FDE24" s="246"/>
      <c r="FDF24" s="246"/>
      <c r="FDG24" s="246"/>
      <c r="FDH24" s="246"/>
      <c r="FDI24" s="246"/>
      <c r="FDJ24" s="246"/>
      <c r="FDK24" s="246"/>
      <c r="FDL24" s="246"/>
      <c r="FDM24" s="246"/>
      <c r="FDN24" s="246"/>
      <c r="FDO24" s="246"/>
      <c r="FDP24" s="246"/>
      <c r="FDQ24" s="246"/>
      <c r="FDR24" s="246"/>
      <c r="FDS24" s="246"/>
      <c r="FDT24" s="246"/>
      <c r="FDU24" s="246"/>
      <c r="FDV24" s="246"/>
      <c r="FDW24" s="246"/>
      <c r="FDX24" s="246"/>
      <c r="FDY24" s="246"/>
      <c r="FDZ24" s="246"/>
      <c r="FEA24" s="246"/>
      <c r="FEB24" s="246"/>
      <c r="FEC24" s="246"/>
      <c r="FED24" s="246"/>
      <c r="FEE24" s="246"/>
      <c r="FEF24" s="246"/>
      <c r="FEG24" s="246"/>
      <c r="FEH24" s="246"/>
      <c r="FEI24" s="246"/>
      <c r="FEJ24" s="246"/>
      <c r="FEK24" s="246"/>
      <c r="FEL24" s="246"/>
      <c r="FEM24" s="246"/>
      <c r="FEN24" s="246"/>
      <c r="FEO24" s="246"/>
      <c r="FEP24" s="246"/>
      <c r="FEQ24" s="246"/>
      <c r="FER24" s="246"/>
      <c r="FES24" s="246"/>
      <c r="FET24" s="246"/>
      <c r="FEU24" s="246"/>
      <c r="FEV24" s="246"/>
      <c r="FEW24" s="246"/>
      <c r="FEX24" s="246"/>
      <c r="FEY24" s="246"/>
      <c r="FEZ24" s="246"/>
      <c r="FFA24" s="246"/>
      <c r="FFB24" s="246"/>
      <c r="FFC24" s="246"/>
      <c r="FFD24" s="246"/>
      <c r="FFE24" s="246"/>
      <c r="FFF24" s="246"/>
      <c r="FFG24" s="246"/>
      <c r="FFH24" s="246"/>
      <c r="FFI24" s="246"/>
      <c r="FFJ24" s="246"/>
      <c r="FFK24" s="246"/>
      <c r="FFL24" s="246"/>
      <c r="FFM24" s="246"/>
      <c r="FFN24" s="246"/>
      <c r="FFO24" s="246"/>
      <c r="FFP24" s="246"/>
      <c r="FFQ24" s="246"/>
      <c r="FFR24" s="246"/>
      <c r="FFS24" s="246"/>
      <c r="FFT24" s="246"/>
      <c r="FFU24" s="246"/>
      <c r="FFV24" s="246"/>
      <c r="FFW24" s="246"/>
      <c r="FFX24" s="246"/>
      <c r="FFY24" s="246"/>
      <c r="FFZ24" s="246"/>
      <c r="FGA24" s="246"/>
      <c r="FGB24" s="246"/>
      <c r="FGC24" s="246"/>
      <c r="FGD24" s="246"/>
      <c r="FGE24" s="246"/>
      <c r="FGF24" s="246"/>
      <c r="FGG24" s="246"/>
      <c r="FGH24" s="246"/>
      <c r="FGI24" s="246"/>
      <c r="FGJ24" s="246"/>
      <c r="FGK24" s="246"/>
      <c r="FGL24" s="246"/>
      <c r="FGM24" s="246"/>
      <c r="FGN24" s="246"/>
      <c r="FGO24" s="246"/>
      <c r="FGP24" s="246"/>
      <c r="FGQ24" s="246"/>
      <c r="FGR24" s="246"/>
      <c r="FGS24" s="246"/>
      <c r="FGT24" s="246"/>
      <c r="FGU24" s="246"/>
      <c r="FGV24" s="246"/>
      <c r="FGW24" s="246"/>
      <c r="FGX24" s="246"/>
      <c r="FGY24" s="246"/>
      <c r="FGZ24" s="246"/>
      <c r="FHA24" s="246"/>
      <c r="FHB24" s="246"/>
      <c r="FHC24" s="246"/>
      <c r="FHD24" s="246"/>
      <c r="FHE24" s="246"/>
      <c r="FHF24" s="246"/>
      <c r="FHG24" s="246"/>
      <c r="FHH24" s="246"/>
      <c r="FHI24" s="246"/>
      <c r="FHJ24" s="246"/>
      <c r="FHK24" s="246"/>
      <c r="FHL24" s="246"/>
      <c r="FHM24" s="246"/>
      <c r="FHN24" s="246"/>
      <c r="FHO24" s="246"/>
      <c r="FHP24" s="246"/>
      <c r="FHQ24" s="246"/>
      <c r="FHR24" s="246"/>
      <c r="FHS24" s="246"/>
      <c r="FHT24" s="246"/>
      <c r="FHU24" s="246"/>
      <c r="FHV24" s="246"/>
      <c r="FHW24" s="246"/>
      <c r="FHX24" s="246"/>
      <c r="FHY24" s="246"/>
      <c r="FHZ24" s="246"/>
      <c r="FIA24" s="246"/>
      <c r="FIB24" s="246"/>
      <c r="FIC24" s="246"/>
      <c r="FID24" s="246"/>
      <c r="FIE24" s="246"/>
      <c r="FIF24" s="246"/>
      <c r="FIG24" s="246"/>
      <c r="FIH24" s="246"/>
      <c r="FII24" s="246"/>
      <c r="FIJ24" s="246"/>
      <c r="FIK24" s="246"/>
      <c r="FIL24" s="246"/>
      <c r="FIM24" s="246"/>
      <c r="FIN24" s="246"/>
      <c r="FIO24" s="246"/>
      <c r="FIP24" s="246"/>
      <c r="FIQ24" s="246"/>
      <c r="FIR24" s="246"/>
      <c r="FIS24" s="246"/>
      <c r="FIT24" s="246"/>
      <c r="FIU24" s="246"/>
      <c r="FIV24" s="246"/>
      <c r="FIW24" s="246"/>
      <c r="FIX24" s="246"/>
      <c r="FIY24" s="246"/>
      <c r="FIZ24" s="246"/>
      <c r="FJA24" s="246"/>
      <c r="FJB24" s="246"/>
      <c r="FJC24" s="246"/>
      <c r="FJD24" s="246"/>
      <c r="FJE24" s="246"/>
      <c r="FJF24" s="246"/>
      <c r="FJG24" s="246"/>
      <c r="FJH24" s="246"/>
      <c r="FJI24" s="246"/>
      <c r="FJJ24" s="246"/>
      <c r="FJK24" s="246"/>
      <c r="FJL24" s="246"/>
      <c r="FJM24" s="246"/>
      <c r="FJN24" s="246"/>
      <c r="FJO24" s="246"/>
      <c r="FJP24" s="246"/>
      <c r="FJQ24" s="246"/>
      <c r="FJR24" s="246"/>
      <c r="FJS24" s="246"/>
      <c r="FJT24" s="246"/>
      <c r="FJU24" s="246"/>
      <c r="FJV24" s="246"/>
      <c r="FJW24" s="246"/>
      <c r="FJX24" s="246"/>
      <c r="FJY24" s="246"/>
      <c r="FJZ24" s="246"/>
      <c r="FKA24" s="246"/>
      <c r="FKB24" s="246"/>
      <c r="FKC24" s="246"/>
      <c r="FKD24" s="246"/>
      <c r="FKE24" s="246"/>
      <c r="FKF24" s="246"/>
      <c r="FKG24" s="246"/>
      <c r="FKH24" s="246"/>
      <c r="FKI24" s="246"/>
      <c r="FKJ24" s="246"/>
      <c r="FKK24" s="246"/>
      <c r="FKL24" s="246"/>
      <c r="FKM24" s="246"/>
      <c r="FKN24" s="246"/>
      <c r="FKO24" s="246"/>
      <c r="FKP24" s="246"/>
      <c r="FKQ24" s="246"/>
      <c r="FKR24" s="246"/>
      <c r="FKS24" s="246"/>
      <c r="FKT24" s="246"/>
      <c r="FKU24" s="246"/>
      <c r="FKV24" s="246"/>
      <c r="FKW24" s="246"/>
      <c r="FKX24" s="246"/>
      <c r="FKY24" s="246"/>
      <c r="FKZ24" s="246"/>
      <c r="FLA24" s="246"/>
      <c r="FLB24" s="246"/>
      <c r="FLC24" s="246"/>
      <c r="FLD24" s="246"/>
      <c r="FLE24" s="246"/>
      <c r="FLF24" s="246"/>
      <c r="FLG24" s="246"/>
      <c r="FLH24" s="246"/>
      <c r="FLI24" s="246"/>
      <c r="FLJ24" s="246"/>
      <c r="FLK24" s="246"/>
      <c r="FLL24" s="246"/>
      <c r="FLM24" s="246"/>
      <c r="FLN24" s="246"/>
      <c r="FLO24" s="246"/>
      <c r="FLP24" s="246"/>
      <c r="FLQ24" s="246"/>
      <c r="FLR24" s="246"/>
      <c r="FLS24" s="246"/>
      <c r="FLT24" s="246"/>
      <c r="FLU24" s="246"/>
      <c r="FLV24" s="246"/>
      <c r="FLW24" s="246"/>
      <c r="FLX24" s="246"/>
      <c r="FLY24" s="246"/>
      <c r="FLZ24" s="246"/>
      <c r="FMA24" s="246"/>
      <c r="FMB24" s="246"/>
      <c r="FMC24" s="246"/>
      <c r="FMD24" s="246"/>
      <c r="FME24" s="246"/>
      <c r="FMF24" s="246"/>
      <c r="FMG24" s="246"/>
      <c r="FMH24" s="246"/>
      <c r="FMI24" s="246"/>
      <c r="FMJ24" s="246"/>
      <c r="FMK24" s="246"/>
      <c r="FML24" s="246"/>
      <c r="FMM24" s="246"/>
      <c r="FMN24" s="246"/>
      <c r="FMO24" s="246"/>
      <c r="FMP24" s="246"/>
      <c r="FMQ24" s="246"/>
      <c r="FMR24" s="246"/>
      <c r="FMS24" s="246"/>
      <c r="FMT24" s="246"/>
      <c r="FMU24" s="246"/>
      <c r="FMV24" s="246"/>
      <c r="FMW24" s="246"/>
      <c r="FMX24" s="246"/>
      <c r="FMY24" s="246"/>
      <c r="FMZ24" s="246"/>
      <c r="FNA24" s="246"/>
      <c r="FNB24" s="246"/>
      <c r="FNC24" s="246"/>
      <c r="FND24" s="246"/>
      <c r="FNE24" s="246"/>
      <c r="FNF24" s="246"/>
      <c r="FNG24" s="246"/>
      <c r="FNH24" s="246"/>
      <c r="FNI24" s="246"/>
      <c r="FNJ24" s="246"/>
      <c r="FNK24" s="246"/>
      <c r="FNL24" s="246"/>
      <c r="FNM24" s="246"/>
      <c r="FNN24" s="246"/>
      <c r="FNO24" s="246"/>
      <c r="FNP24" s="246"/>
      <c r="FNQ24" s="246"/>
      <c r="FNR24" s="246"/>
      <c r="FNS24" s="246"/>
      <c r="FNT24" s="246"/>
      <c r="FNU24" s="246"/>
      <c r="FNV24" s="246"/>
      <c r="FNW24" s="246"/>
      <c r="FNX24" s="246"/>
      <c r="FNY24" s="246"/>
      <c r="FNZ24" s="246"/>
      <c r="FOA24" s="246"/>
      <c r="FOB24" s="246"/>
      <c r="FOC24" s="246"/>
      <c r="FOD24" s="246"/>
      <c r="FOE24" s="246"/>
      <c r="FOF24" s="246"/>
      <c r="FOG24" s="246"/>
      <c r="FOH24" s="246"/>
      <c r="FOI24" s="246"/>
      <c r="FOJ24" s="246"/>
      <c r="FOK24" s="246"/>
      <c r="FOL24" s="246"/>
      <c r="FOM24" s="246"/>
      <c r="FON24" s="246"/>
      <c r="FOO24" s="246"/>
      <c r="FOP24" s="246"/>
      <c r="FOQ24" s="246"/>
      <c r="FOR24" s="246"/>
      <c r="FOS24" s="246"/>
      <c r="FOT24" s="246"/>
      <c r="FOU24" s="246"/>
      <c r="FOV24" s="246"/>
      <c r="FOW24" s="246"/>
      <c r="FOX24" s="246"/>
      <c r="FOY24" s="246"/>
      <c r="FOZ24" s="246"/>
      <c r="FPA24" s="246"/>
      <c r="FPB24" s="246"/>
      <c r="FPC24" s="246"/>
      <c r="FPD24" s="246"/>
      <c r="FPE24" s="246"/>
      <c r="FPF24" s="246"/>
      <c r="FPG24" s="246"/>
      <c r="FPH24" s="246"/>
      <c r="FPI24" s="246"/>
      <c r="FPJ24" s="246"/>
      <c r="FPK24" s="246"/>
      <c r="FPL24" s="246"/>
      <c r="FPM24" s="246"/>
      <c r="FPN24" s="246"/>
      <c r="FPO24" s="246"/>
      <c r="FPP24" s="246"/>
      <c r="FPQ24" s="246"/>
      <c r="FPR24" s="246"/>
      <c r="FPS24" s="246"/>
      <c r="FPT24" s="246"/>
      <c r="FPU24" s="246"/>
      <c r="FPV24" s="246"/>
      <c r="FPW24" s="246"/>
      <c r="FPX24" s="246"/>
      <c r="FPY24" s="246"/>
      <c r="FPZ24" s="246"/>
      <c r="FQA24" s="246"/>
      <c r="FQB24" s="246"/>
      <c r="FQC24" s="246"/>
      <c r="FQD24" s="246"/>
      <c r="FQE24" s="246"/>
      <c r="FQF24" s="246"/>
      <c r="FQG24" s="246"/>
      <c r="FQH24" s="246"/>
      <c r="FQI24" s="246"/>
      <c r="FQJ24" s="246"/>
      <c r="FQK24" s="246"/>
      <c r="FQL24" s="246"/>
      <c r="FQM24" s="246"/>
      <c r="FQN24" s="246"/>
      <c r="FQO24" s="246"/>
      <c r="FQP24" s="246"/>
      <c r="FQQ24" s="246"/>
      <c r="FQR24" s="246"/>
      <c r="FQS24" s="246"/>
      <c r="FQT24" s="246"/>
      <c r="FQU24" s="246"/>
      <c r="FQV24" s="246"/>
      <c r="FQW24" s="246"/>
      <c r="FQX24" s="246"/>
      <c r="FQY24" s="246"/>
      <c r="FQZ24" s="246"/>
      <c r="FRA24" s="246"/>
      <c r="FRB24" s="246"/>
      <c r="FRC24" s="246"/>
      <c r="FRD24" s="246"/>
      <c r="FRE24" s="246"/>
      <c r="FRF24" s="246"/>
      <c r="FRG24" s="246"/>
      <c r="FRH24" s="246"/>
      <c r="FRI24" s="246"/>
      <c r="FRJ24" s="246"/>
      <c r="FRK24" s="246"/>
      <c r="FRL24" s="246"/>
      <c r="FRM24" s="246"/>
      <c r="FRN24" s="246"/>
      <c r="FRO24" s="246"/>
      <c r="FRP24" s="246"/>
      <c r="FRQ24" s="246"/>
      <c r="FRR24" s="246"/>
      <c r="FRS24" s="246"/>
      <c r="FRT24" s="246"/>
      <c r="FRU24" s="246"/>
      <c r="FRV24" s="246"/>
      <c r="FRW24" s="246"/>
      <c r="FRX24" s="246"/>
      <c r="FRY24" s="246"/>
      <c r="FRZ24" s="246"/>
      <c r="FSA24" s="246"/>
      <c r="FSB24" s="246"/>
      <c r="FSC24" s="246"/>
      <c r="FSD24" s="246"/>
      <c r="FSE24" s="246"/>
      <c r="FSF24" s="246"/>
      <c r="FSG24" s="246"/>
      <c r="FSH24" s="246"/>
      <c r="FSI24" s="246"/>
      <c r="FSJ24" s="246"/>
      <c r="FSK24" s="246"/>
      <c r="FSL24" s="246"/>
      <c r="FSM24" s="246"/>
      <c r="FSN24" s="246"/>
      <c r="FSO24" s="246"/>
      <c r="FSP24" s="246"/>
      <c r="FSQ24" s="246"/>
      <c r="FSR24" s="246"/>
      <c r="FSS24" s="246"/>
      <c r="FST24" s="246"/>
      <c r="FSU24" s="246"/>
      <c r="FSV24" s="246"/>
      <c r="FSW24" s="246"/>
      <c r="FSX24" s="246"/>
      <c r="FSY24" s="246"/>
      <c r="FSZ24" s="246"/>
      <c r="FTA24" s="246"/>
      <c r="FTB24" s="246"/>
      <c r="FTC24" s="246"/>
      <c r="FTD24" s="246"/>
      <c r="FTE24" s="246"/>
      <c r="FTF24" s="246"/>
      <c r="FTG24" s="246"/>
      <c r="FTH24" s="246"/>
      <c r="FTI24" s="246"/>
      <c r="FTJ24" s="246"/>
      <c r="FTK24" s="246"/>
      <c r="FTL24" s="246"/>
      <c r="FTM24" s="246"/>
      <c r="FTN24" s="246"/>
      <c r="FTO24" s="246"/>
      <c r="FTP24" s="246"/>
      <c r="FTQ24" s="246"/>
      <c r="FTR24" s="246"/>
      <c r="FTS24" s="246"/>
      <c r="FTT24" s="246"/>
      <c r="FTU24" s="246"/>
      <c r="FTV24" s="246"/>
      <c r="FTW24" s="246"/>
      <c r="FTX24" s="246"/>
      <c r="FTY24" s="246"/>
      <c r="FTZ24" s="246"/>
      <c r="FUA24" s="246"/>
      <c r="FUB24" s="246"/>
      <c r="FUC24" s="246"/>
      <c r="FUD24" s="246"/>
      <c r="FUE24" s="246"/>
      <c r="FUF24" s="246"/>
      <c r="FUG24" s="246"/>
      <c r="FUH24" s="246"/>
      <c r="FUI24" s="246"/>
      <c r="FUJ24" s="246"/>
      <c r="FUK24" s="246"/>
      <c r="FUL24" s="246"/>
      <c r="FUM24" s="246"/>
      <c r="FUN24" s="246"/>
      <c r="FUO24" s="246"/>
      <c r="FUP24" s="246"/>
      <c r="FUQ24" s="246"/>
      <c r="FUR24" s="246"/>
      <c r="FUS24" s="246"/>
      <c r="FUT24" s="246"/>
      <c r="FUU24" s="246"/>
      <c r="FUV24" s="246"/>
      <c r="FUW24" s="246"/>
      <c r="FUX24" s="246"/>
      <c r="FUY24" s="246"/>
      <c r="FUZ24" s="246"/>
      <c r="FVA24" s="246"/>
      <c r="FVB24" s="246"/>
      <c r="FVC24" s="246"/>
      <c r="FVD24" s="246"/>
      <c r="FVE24" s="246"/>
      <c r="FVF24" s="246"/>
      <c r="FVG24" s="246"/>
      <c r="FVH24" s="246"/>
      <c r="FVI24" s="246"/>
      <c r="FVJ24" s="246"/>
      <c r="FVK24" s="246"/>
      <c r="FVL24" s="246"/>
      <c r="FVM24" s="246"/>
      <c r="FVN24" s="246"/>
      <c r="FVO24" s="246"/>
      <c r="FVP24" s="246"/>
      <c r="FVQ24" s="246"/>
      <c r="FVR24" s="246"/>
      <c r="FVS24" s="246"/>
      <c r="FVT24" s="246"/>
      <c r="FVU24" s="246"/>
      <c r="FVV24" s="246"/>
      <c r="FVW24" s="246"/>
      <c r="FVX24" s="246"/>
      <c r="FVY24" s="246"/>
      <c r="FVZ24" s="246"/>
      <c r="FWA24" s="246"/>
      <c r="FWB24" s="246"/>
      <c r="FWC24" s="246"/>
      <c r="FWD24" s="246"/>
      <c r="FWE24" s="246"/>
      <c r="FWF24" s="246"/>
      <c r="FWG24" s="246"/>
      <c r="FWH24" s="246"/>
      <c r="FWI24" s="246"/>
      <c r="FWJ24" s="246"/>
      <c r="FWK24" s="246"/>
      <c r="FWL24" s="246"/>
      <c r="FWM24" s="246"/>
      <c r="FWN24" s="246"/>
      <c r="FWO24" s="246"/>
      <c r="FWP24" s="246"/>
      <c r="FWQ24" s="246"/>
      <c r="FWR24" s="246"/>
      <c r="FWS24" s="246"/>
      <c r="FWT24" s="246"/>
      <c r="FWU24" s="246"/>
      <c r="FWV24" s="246"/>
      <c r="FWW24" s="246"/>
      <c r="FWX24" s="246"/>
      <c r="FWY24" s="246"/>
      <c r="FWZ24" s="246"/>
      <c r="FXA24" s="246"/>
      <c r="FXB24" s="246"/>
      <c r="FXC24" s="246"/>
      <c r="FXD24" s="246"/>
      <c r="FXE24" s="246"/>
      <c r="FXF24" s="246"/>
      <c r="FXG24" s="246"/>
      <c r="FXH24" s="246"/>
      <c r="FXI24" s="246"/>
      <c r="FXJ24" s="246"/>
      <c r="FXK24" s="246"/>
      <c r="FXL24" s="246"/>
      <c r="FXM24" s="246"/>
      <c r="FXN24" s="246"/>
      <c r="FXO24" s="246"/>
      <c r="FXP24" s="246"/>
      <c r="FXQ24" s="246"/>
      <c r="FXR24" s="246"/>
      <c r="FXS24" s="246"/>
      <c r="FXT24" s="246"/>
      <c r="FXU24" s="246"/>
      <c r="FXV24" s="246"/>
      <c r="FXW24" s="246"/>
      <c r="FXX24" s="246"/>
      <c r="FXY24" s="246"/>
      <c r="FXZ24" s="246"/>
      <c r="FYA24" s="246"/>
      <c r="FYB24" s="246"/>
      <c r="FYC24" s="246"/>
      <c r="FYD24" s="246"/>
      <c r="FYE24" s="246"/>
      <c r="FYF24" s="246"/>
      <c r="FYG24" s="246"/>
      <c r="FYH24" s="246"/>
      <c r="FYI24" s="246"/>
      <c r="FYJ24" s="246"/>
      <c r="FYK24" s="246"/>
      <c r="FYL24" s="246"/>
      <c r="FYM24" s="246"/>
      <c r="FYN24" s="246"/>
      <c r="FYO24" s="246"/>
      <c r="FYP24" s="246"/>
      <c r="FYQ24" s="246"/>
      <c r="FYR24" s="246"/>
      <c r="FYS24" s="246"/>
      <c r="FYT24" s="246"/>
      <c r="FYU24" s="246"/>
      <c r="FYV24" s="246"/>
      <c r="FYW24" s="246"/>
      <c r="FYX24" s="246"/>
      <c r="FYY24" s="246"/>
      <c r="FYZ24" s="246"/>
      <c r="FZA24" s="246"/>
      <c r="FZB24" s="246"/>
      <c r="FZC24" s="246"/>
      <c r="FZD24" s="246"/>
      <c r="FZE24" s="246"/>
      <c r="FZF24" s="246"/>
      <c r="FZG24" s="246"/>
      <c r="FZH24" s="246"/>
      <c r="FZI24" s="246"/>
      <c r="FZJ24" s="246"/>
      <c r="FZK24" s="246"/>
      <c r="FZL24" s="246"/>
      <c r="FZM24" s="246"/>
      <c r="FZN24" s="246"/>
      <c r="FZO24" s="246"/>
      <c r="FZP24" s="246"/>
      <c r="FZQ24" s="246"/>
      <c r="FZR24" s="246"/>
      <c r="FZS24" s="246"/>
      <c r="FZT24" s="246"/>
      <c r="FZU24" s="246"/>
      <c r="FZV24" s="246"/>
      <c r="FZW24" s="246"/>
      <c r="FZX24" s="246"/>
      <c r="FZY24" s="246"/>
      <c r="FZZ24" s="246"/>
      <c r="GAA24" s="246"/>
      <c r="GAB24" s="246"/>
      <c r="GAC24" s="246"/>
      <c r="GAD24" s="246"/>
      <c r="GAE24" s="246"/>
      <c r="GAF24" s="246"/>
      <c r="GAG24" s="246"/>
      <c r="GAH24" s="246"/>
      <c r="GAI24" s="246"/>
      <c r="GAJ24" s="246"/>
      <c r="GAK24" s="246"/>
      <c r="GAL24" s="246"/>
      <c r="GAM24" s="246"/>
      <c r="GAN24" s="246"/>
      <c r="GAO24" s="246"/>
      <c r="GAP24" s="246"/>
      <c r="GAQ24" s="246"/>
      <c r="GAR24" s="246"/>
      <c r="GAS24" s="246"/>
      <c r="GAT24" s="246"/>
      <c r="GAU24" s="246"/>
      <c r="GAV24" s="246"/>
      <c r="GAW24" s="246"/>
      <c r="GAX24" s="246"/>
      <c r="GAY24" s="246"/>
      <c r="GAZ24" s="246"/>
      <c r="GBA24" s="246"/>
      <c r="GBB24" s="246"/>
      <c r="GBC24" s="246"/>
      <c r="GBD24" s="246"/>
      <c r="GBE24" s="246"/>
      <c r="GBF24" s="246"/>
      <c r="GBG24" s="246"/>
      <c r="GBH24" s="246"/>
      <c r="GBI24" s="246"/>
      <c r="GBJ24" s="246"/>
      <c r="GBK24" s="246"/>
      <c r="GBL24" s="246"/>
      <c r="GBM24" s="246"/>
      <c r="GBN24" s="246"/>
      <c r="GBO24" s="246"/>
      <c r="GBP24" s="246"/>
      <c r="GBQ24" s="246"/>
      <c r="GBR24" s="246"/>
      <c r="GBS24" s="246"/>
      <c r="GBT24" s="246"/>
      <c r="GBU24" s="246"/>
      <c r="GBV24" s="246"/>
      <c r="GBW24" s="246"/>
      <c r="GBX24" s="246"/>
      <c r="GBY24" s="246"/>
      <c r="GBZ24" s="246"/>
      <c r="GCA24" s="246"/>
      <c r="GCB24" s="246"/>
      <c r="GCC24" s="246"/>
      <c r="GCD24" s="246"/>
      <c r="GCE24" s="246"/>
      <c r="GCF24" s="246"/>
      <c r="GCG24" s="246"/>
      <c r="GCH24" s="246"/>
      <c r="GCI24" s="246"/>
      <c r="GCJ24" s="246"/>
      <c r="GCK24" s="246"/>
      <c r="GCL24" s="246"/>
      <c r="GCM24" s="246"/>
      <c r="GCN24" s="246"/>
      <c r="GCO24" s="246"/>
      <c r="GCP24" s="246"/>
      <c r="GCQ24" s="246"/>
      <c r="GCR24" s="246"/>
      <c r="GCS24" s="246"/>
      <c r="GCT24" s="246"/>
      <c r="GCU24" s="246"/>
      <c r="GCV24" s="246"/>
      <c r="GCW24" s="246"/>
      <c r="GCX24" s="246"/>
      <c r="GCY24" s="246"/>
      <c r="GCZ24" s="246"/>
      <c r="GDA24" s="246"/>
      <c r="GDB24" s="246"/>
      <c r="GDC24" s="246"/>
      <c r="GDD24" s="246"/>
      <c r="GDE24" s="246"/>
      <c r="GDF24" s="246"/>
      <c r="GDG24" s="246"/>
      <c r="GDH24" s="246"/>
      <c r="GDI24" s="246"/>
      <c r="GDJ24" s="246"/>
      <c r="GDK24" s="246"/>
      <c r="GDL24" s="246"/>
      <c r="GDM24" s="246"/>
      <c r="GDN24" s="246"/>
      <c r="GDO24" s="246"/>
      <c r="GDP24" s="246"/>
      <c r="GDQ24" s="246"/>
      <c r="GDR24" s="246"/>
      <c r="GDS24" s="246"/>
      <c r="GDT24" s="246"/>
      <c r="GDU24" s="246"/>
      <c r="GDV24" s="246"/>
      <c r="GDW24" s="246"/>
      <c r="GDX24" s="246"/>
      <c r="GDY24" s="246"/>
      <c r="GDZ24" s="246"/>
      <c r="GEA24" s="246"/>
      <c r="GEB24" s="246"/>
      <c r="GEC24" s="246"/>
      <c r="GED24" s="246"/>
      <c r="GEE24" s="246"/>
      <c r="GEF24" s="246"/>
      <c r="GEG24" s="246"/>
      <c r="GEH24" s="246"/>
      <c r="GEI24" s="246"/>
      <c r="GEJ24" s="246"/>
      <c r="GEK24" s="246"/>
      <c r="GEL24" s="246"/>
      <c r="GEM24" s="246"/>
      <c r="GEN24" s="246"/>
      <c r="GEO24" s="246"/>
      <c r="GEP24" s="246"/>
      <c r="GEQ24" s="246"/>
      <c r="GER24" s="246"/>
      <c r="GES24" s="246"/>
      <c r="GET24" s="246"/>
      <c r="GEU24" s="246"/>
      <c r="GEV24" s="246"/>
      <c r="GEW24" s="246"/>
      <c r="GEX24" s="246"/>
      <c r="GEY24" s="246"/>
      <c r="GEZ24" s="246"/>
      <c r="GFA24" s="246"/>
      <c r="GFB24" s="246"/>
      <c r="GFC24" s="246"/>
      <c r="GFD24" s="246"/>
      <c r="GFE24" s="246"/>
      <c r="GFF24" s="246"/>
      <c r="GFG24" s="246"/>
      <c r="GFH24" s="246"/>
      <c r="GFI24" s="246"/>
      <c r="GFJ24" s="246"/>
      <c r="GFK24" s="246"/>
      <c r="GFL24" s="246"/>
      <c r="GFM24" s="246"/>
      <c r="GFN24" s="246"/>
      <c r="GFO24" s="246"/>
      <c r="GFP24" s="246"/>
      <c r="GFQ24" s="246"/>
      <c r="GFR24" s="246"/>
      <c r="GFS24" s="246"/>
      <c r="GFT24" s="246"/>
      <c r="GFU24" s="246"/>
      <c r="GFV24" s="246"/>
      <c r="GFW24" s="246"/>
      <c r="GFX24" s="246"/>
      <c r="GFY24" s="246"/>
      <c r="GFZ24" s="246"/>
      <c r="GGA24" s="246"/>
      <c r="GGB24" s="246"/>
      <c r="GGC24" s="246"/>
      <c r="GGD24" s="246"/>
      <c r="GGE24" s="246"/>
      <c r="GGF24" s="246"/>
      <c r="GGG24" s="246"/>
      <c r="GGH24" s="246"/>
      <c r="GGI24" s="246"/>
      <c r="GGJ24" s="246"/>
      <c r="GGK24" s="246"/>
      <c r="GGL24" s="246"/>
      <c r="GGM24" s="246"/>
      <c r="GGN24" s="246"/>
      <c r="GGO24" s="246"/>
      <c r="GGP24" s="246"/>
      <c r="GGQ24" s="246"/>
      <c r="GGR24" s="246"/>
      <c r="GGS24" s="246"/>
      <c r="GGT24" s="246"/>
      <c r="GGU24" s="246"/>
      <c r="GGV24" s="246"/>
      <c r="GGW24" s="246"/>
      <c r="GGX24" s="246"/>
      <c r="GGY24" s="246"/>
      <c r="GGZ24" s="246"/>
      <c r="GHA24" s="246"/>
      <c r="GHB24" s="246"/>
      <c r="GHC24" s="246"/>
      <c r="GHD24" s="246"/>
      <c r="GHE24" s="246"/>
      <c r="GHF24" s="246"/>
      <c r="GHG24" s="246"/>
      <c r="GHH24" s="246"/>
      <c r="GHI24" s="246"/>
      <c r="GHJ24" s="246"/>
      <c r="GHK24" s="246"/>
      <c r="GHL24" s="246"/>
      <c r="GHM24" s="246"/>
      <c r="GHN24" s="246"/>
      <c r="GHO24" s="246"/>
      <c r="GHP24" s="246"/>
      <c r="GHQ24" s="246"/>
      <c r="GHR24" s="246"/>
      <c r="GHS24" s="246"/>
      <c r="GHT24" s="246"/>
      <c r="GHU24" s="246"/>
      <c r="GHV24" s="246"/>
      <c r="GHW24" s="246"/>
      <c r="GHX24" s="246"/>
      <c r="GHY24" s="246"/>
      <c r="GHZ24" s="246"/>
      <c r="GIA24" s="246"/>
      <c r="GIB24" s="246"/>
      <c r="GIC24" s="246"/>
      <c r="GID24" s="246"/>
      <c r="GIE24" s="246"/>
      <c r="GIF24" s="246"/>
      <c r="GIG24" s="246"/>
      <c r="GIH24" s="246"/>
      <c r="GII24" s="246"/>
      <c r="GIJ24" s="246"/>
      <c r="GIK24" s="246"/>
      <c r="GIL24" s="246"/>
      <c r="GIM24" s="246"/>
      <c r="GIN24" s="246"/>
      <c r="GIO24" s="246"/>
      <c r="GIP24" s="246"/>
      <c r="GIQ24" s="246"/>
      <c r="GIR24" s="246"/>
      <c r="GIS24" s="246"/>
      <c r="GIT24" s="246"/>
      <c r="GIU24" s="246"/>
      <c r="GIV24" s="246"/>
      <c r="GIW24" s="246"/>
      <c r="GIX24" s="246"/>
      <c r="GIY24" s="246"/>
      <c r="GIZ24" s="246"/>
      <c r="GJA24" s="246"/>
      <c r="GJB24" s="246"/>
      <c r="GJC24" s="246"/>
      <c r="GJD24" s="246"/>
      <c r="GJE24" s="246"/>
      <c r="GJF24" s="246"/>
      <c r="GJG24" s="246"/>
      <c r="GJH24" s="246"/>
      <c r="GJI24" s="246"/>
      <c r="GJJ24" s="246"/>
      <c r="GJK24" s="246"/>
      <c r="GJL24" s="246"/>
      <c r="GJM24" s="246"/>
      <c r="GJN24" s="246"/>
      <c r="GJO24" s="246"/>
      <c r="GJP24" s="246"/>
      <c r="GJQ24" s="246"/>
      <c r="GJR24" s="246"/>
      <c r="GJS24" s="246"/>
      <c r="GJT24" s="246"/>
      <c r="GJU24" s="246"/>
      <c r="GJV24" s="246"/>
      <c r="GJW24" s="246"/>
      <c r="GJX24" s="246"/>
      <c r="GJY24" s="246"/>
      <c r="GJZ24" s="246"/>
      <c r="GKA24" s="246"/>
      <c r="GKB24" s="246"/>
      <c r="GKC24" s="246"/>
      <c r="GKD24" s="246"/>
      <c r="GKE24" s="246"/>
      <c r="GKF24" s="246"/>
      <c r="GKG24" s="246"/>
      <c r="GKH24" s="246"/>
      <c r="GKI24" s="246"/>
      <c r="GKJ24" s="246"/>
      <c r="GKK24" s="246"/>
      <c r="GKL24" s="246"/>
      <c r="GKM24" s="246"/>
      <c r="GKN24" s="246"/>
      <c r="GKO24" s="246"/>
      <c r="GKP24" s="246"/>
      <c r="GKQ24" s="246"/>
      <c r="GKR24" s="246"/>
      <c r="GKS24" s="246"/>
      <c r="GKT24" s="246"/>
      <c r="GKU24" s="246"/>
      <c r="GKV24" s="246"/>
      <c r="GKW24" s="246"/>
      <c r="GKX24" s="246"/>
      <c r="GKY24" s="246"/>
      <c r="GKZ24" s="246"/>
      <c r="GLA24" s="246"/>
      <c r="GLB24" s="246"/>
      <c r="GLC24" s="246"/>
      <c r="GLD24" s="246"/>
      <c r="GLE24" s="246"/>
      <c r="GLF24" s="246"/>
      <c r="GLG24" s="246"/>
      <c r="GLH24" s="246"/>
      <c r="GLI24" s="246"/>
      <c r="GLJ24" s="246"/>
      <c r="GLK24" s="246"/>
      <c r="GLL24" s="246"/>
      <c r="GLM24" s="246"/>
      <c r="GLN24" s="246"/>
      <c r="GLO24" s="246"/>
      <c r="GLP24" s="246"/>
      <c r="GLQ24" s="246"/>
      <c r="GLR24" s="246"/>
      <c r="GLS24" s="246"/>
      <c r="GLT24" s="246"/>
      <c r="GLU24" s="246"/>
      <c r="GLV24" s="246"/>
      <c r="GLW24" s="246"/>
      <c r="GLX24" s="246"/>
      <c r="GLY24" s="246"/>
      <c r="GLZ24" s="246"/>
      <c r="GMA24" s="246"/>
      <c r="GMB24" s="246"/>
      <c r="GMC24" s="246"/>
      <c r="GMD24" s="246"/>
      <c r="GME24" s="246"/>
      <c r="GMF24" s="246"/>
      <c r="GMG24" s="246"/>
      <c r="GMH24" s="246"/>
      <c r="GMI24" s="246"/>
      <c r="GMJ24" s="246"/>
      <c r="GMK24" s="246"/>
      <c r="GML24" s="246"/>
      <c r="GMM24" s="246"/>
      <c r="GMN24" s="246"/>
      <c r="GMO24" s="246"/>
      <c r="GMP24" s="246"/>
      <c r="GMQ24" s="246"/>
      <c r="GMR24" s="246"/>
      <c r="GMS24" s="246"/>
      <c r="GMT24" s="246"/>
      <c r="GMU24" s="246"/>
      <c r="GMV24" s="246"/>
      <c r="GMW24" s="246"/>
      <c r="GMX24" s="246"/>
      <c r="GMY24" s="246"/>
      <c r="GMZ24" s="246"/>
      <c r="GNA24" s="246"/>
      <c r="GNB24" s="246"/>
      <c r="GNC24" s="246"/>
      <c r="GND24" s="246"/>
      <c r="GNE24" s="246"/>
      <c r="GNF24" s="246"/>
      <c r="GNG24" s="246"/>
      <c r="GNH24" s="246"/>
      <c r="GNI24" s="246"/>
      <c r="GNJ24" s="246"/>
      <c r="GNK24" s="246"/>
      <c r="GNL24" s="246"/>
      <c r="GNM24" s="246"/>
      <c r="GNN24" s="246"/>
      <c r="GNO24" s="246"/>
      <c r="GNP24" s="246"/>
      <c r="GNQ24" s="246"/>
      <c r="GNR24" s="246"/>
      <c r="GNS24" s="246"/>
      <c r="GNT24" s="246"/>
      <c r="GNU24" s="246"/>
      <c r="GNV24" s="246"/>
      <c r="GNW24" s="246"/>
      <c r="GNX24" s="246"/>
      <c r="GNY24" s="246"/>
      <c r="GNZ24" s="246"/>
      <c r="GOA24" s="246"/>
      <c r="GOB24" s="246"/>
      <c r="GOC24" s="246"/>
      <c r="GOD24" s="246"/>
      <c r="GOE24" s="246"/>
      <c r="GOF24" s="246"/>
      <c r="GOG24" s="246"/>
      <c r="GOH24" s="246"/>
      <c r="GOI24" s="246"/>
      <c r="GOJ24" s="246"/>
      <c r="GOK24" s="246"/>
      <c r="GOL24" s="246"/>
      <c r="GOM24" s="246"/>
      <c r="GON24" s="246"/>
      <c r="GOO24" s="246"/>
      <c r="GOP24" s="246"/>
      <c r="GOQ24" s="246"/>
      <c r="GOR24" s="246"/>
      <c r="GOS24" s="246"/>
      <c r="GOT24" s="246"/>
      <c r="GOU24" s="246"/>
      <c r="GOV24" s="246"/>
      <c r="GOW24" s="246"/>
      <c r="GOX24" s="246"/>
      <c r="GOY24" s="246"/>
      <c r="GOZ24" s="246"/>
      <c r="GPA24" s="246"/>
      <c r="GPB24" s="246"/>
      <c r="GPC24" s="246"/>
      <c r="GPD24" s="246"/>
      <c r="GPE24" s="246"/>
      <c r="GPF24" s="246"/>
      <c r="GPG24" s="246"/>
      <c r="GPH24" s="246"/>
      <c r="GPI24" s="246"/>
      <c r="GPJ24" s="246"/>
      <c r="GPK24" s="246"/>
      <c r="GPL24" s="246"/>
      <c r="GPM24" s="246"/>
      <c r="GPN24" s="246"/>
      <c r="GPO24" s="246"/>
      <c r="GPP24" s="246"/>
      <c r="GPQ24" s="246"/>
      <c r="GPR24" s="246"/>
      <c r="GPS24" s="246"/>
      <c r="GPT24" s="246"/>
      <c r="GPU24" s="246"/>
      <c r="GPV24" s="246"/>
      <c r="GPW24" s="246"/>
      <c r="GPX24" s="246"/>
      <c r="GPY24" s="246"/>
      <c r="GPZ24" s="246"/>
      <c r="GQA24" s="246"/>
      <c r="GQB24" s="246"/>
      <c r="GQC24" s="246"/>
      <c r="GQD24" s="246"/>
      <c r="GQE24" s="246"/>
      <c r="GQF24" s="246"/>
      <c r="GQG24" s="246"/>
      <c r="GQH24" s="246"/>
      <c r="GQI24" s="246"/>
      <c r="GQJ24" s="246"/>
      <c r="GQK24" s="246"/>
      <c r="GQL24" s="246"/>
      <c r="GQM24" s="246"/>
      <c r="GQN24" s="246"/>
      <c r="GQO24" s="246"/>
      <c r="GQP24" s="246"/>
      <c r="GQQ24" s="246"/>
      <c r="GQR24" s="246"/>
      <c r="GQS24" s="246"/>
      <c r="GQT24" s="246"/>
      <c r="GQU24" s="246"/>
      <c r="GQV24" s="246"/>
      <c r="GQW24" s="246"/>
      <c r="GQX24" s="246"/>
      <c r="GQY24" s="246"/>
      <c r="GQZ24" s="246"/>
      <c r="GRA24" s="246"/>
      <c r="GRB24" s="246"/>
      <c r="GRC24" s="246"/>
      <c r="GRD24" s="246"/>
      <c r="GRE24" s="246"/>
      <c r="GRF24" s="246"/>
      <c r="GRG24" s="246"/>
      <c r="GRH24" s="246"/>
      <c r="GRI24" s="246"/>
      <c r="GRJ24" s="246"/>
      <c r="GRK24" s="246"/>
      <c r="GRL24" s="246"/>
      <c r="GRM24" s="246"/>
      <c r="GRN24" s="246"/>
      <c r="GRO24" s="246"/>
      <c r="GRP24" s="246"/>
      <c r="GRQ24" s="246"/>
      <c r="GRR24" s="246"/>
      <c r="GRS24" s="246"/>
      <c r="GRT24" s="246"/>
      <c r="GRU24" s="246"/>
      <c r="GRV24" s="246"/>
      <c r="GRW24" s="246"/>
      <c r="GRX24" s="246"/>
      <c r="GRY24" s="246"/>
      <c r="GRZ24" s="246"/>
      <c r="GSA24" s="246"/>
      <c r="GSB24" s="246"/>
      <c r="GSC24" s="246"/>
      <c r="GSD24" s="246"/>
      <c r="GSE24" s="246"/>
      <c r="GSF24" s="246"/>
      <c r="GSG24" s="246"/>
      <c r="GSH24" s="246"/>
      <c r="GSI24" s="246"/>
      <c r="GSJ24" s="246"/>
      <c r="GSK24" s="246"/>
      <c r="GSL24" s="246"/>
      <c r="GSM24" s="246"/>
      <c r="GSN24" s="246"/>
      <c r="GSO24" s="246"/>
      <c r="GSP24" s="246"/>
      <c r="GSQ24" s="246"/>
      <c r="GSR24" s="246"/>
      <c r="GSS24" s="246"/>
      <c r="GST24" s="246"/>
      <c r="GSU24" s="246"/>
      <c r="GSV24" s="246"/>
      <c r="GSW24" s="246"/>
      <c r="GSX24" s="246"/>
      <c r="GSY24" s="246"/>
      <c r="GSZ24" s="246"/>
      <c r="GTA24" s="246"/>
      <c r="GTB24" s="246"/>
      <c r="GTC24" s="246"/>
      <c r="GTD24" s="246"/>
      <c r="GTE24" s="246"/>
      <c r="GTF24" s="246"/>
      <c r="GTG24" s="246"/>
      <c r="GTH24" s="246"/>
      <c r="GTI24" s="246"/>
      <c r="GTJ24" s="246"/>
      <c r="GTK24" s="246"/>
      <c r="GTL24" s="246"/>
      <c r="GTM24" s="246"/>
      <c r="GTN24" s="246"/>
      <c r="GTO24" s="246"/>
      <c r="GTP24" s="246"/>
      <c r="GTQ24" s="246"/>
      <c r="GTR24" s="246"/>
      <c r="GTS24" s="246"/>
      <c r="GTT24" s="246"/>
      <c r="GTU24" s="246"/>
      <c r="GTV24" s="246"/>
      <c r="GTW24" s="246"/>
      <c r="GTX24" s="246"/>
      <c r="GTY24" s="246"/>
      <c r="GTZ24" s="246"/>
      <c r="GUA24" s="246"/>
      <c r="GUB24" s="246"/>
      <c r="GUC24" s="246"/>
      <c r="GUD24" s="246"/>
      <c r="GUE24" s="246"/>
      <c r="GUF24" s="246"/>
      <c r="GUG24" s="246"/>
      <c r="GUH24" s="246"/>
      <c r="GUI24" s="246"/>
      <c r="GUJ24" s="246"/>
      <c r="GUK24" s="246"/>
      <c r="GUL24" s="246"/>
      <c r="GUM24" s="246"/>
      <c r="GUN24" s="246"/>
      <c r="GUO24" s="246"/>
      <c r="GUP24" s="246"/>
      <c r="GUQ24" s="246"/>
      <c r="GUR24" s="246"/>
      <c r="GUS24" s="246"/>
      <c r="GUT24" s="246"/>
      <c r="GUU24" s="246"/>
      <c r="GUV24" s="246"/>
      <c r="GUW24" s="246"/>
      <c r="GUX24" s="246"/>
      <c r="GUY24" s="246"/>
      <c r="GUZ24" s="246"/>
      <c r="GVA24" s="246"/>
      <c r="GVB24" s="246"/>
      <c r="GVC24" s="246"/>
      <c r="GVD24" s="246"/>
      <c r="GVE24" s="246"/>
      <c r="GVF24" s="246"/>
      <c r="GVG24" s="246"/>
      <c r="GVH24" s="246"/>
      <c r="GVI24" s="246"/>
      <c r="GVJ24" s="246"/>
      <c r="GVK24" s="246"/>
      <c r="GVL24" s="246"/>
      <c r="GVM24" s="246"/>
      <c r="GVN24" s="246"/>
      <c r="GVO24" s="246"/>
      <c r="GVP24" s="246"/>
      <c r="GVQ24" s="246"/>
      <c r="GVR24" s="246"/>
      <c r="GVS24" s="246"/>
      <c r="GVT24" s="246"/>
      <c r="GVU24" s="246"/>
      <c r="GVV24" s="246"/>
      <c r="GVW24" s="246"/>
      <c r="GVX24" s="246"/>
      <c r="GVY24" s="246"/>
      <c r="GVZ24" s="246"/>
      <c r="GWA24" s="246"/>
      <c r="GWB24" s="246"/>
      <c r="GWC24" s="246"/>
      <c r="GWD24" s="246"/>
      <c r="GWE24" s="246"/>
      <c r="GWF24" s="246"/>
      <c r="GWG24" s="246"/>
      <c r="GWH24" s="246"/>
      <c r="GWI24" s="246"/>
      <c r="GWJ24" s="246"/>
      <c r="GWK24" s="246"/>
      <c r="GWL24" s="246"/>
      <c r="GWM24" s="246"/>
      <c r="GWN24" s="246"/>
      <c r="GWO24" s="246"/>
      <c r="GWP24" s="246"/>
      <c r="GWQ24" s="246"/>
      <c r="GWR24" s="246"/>
      <c r="GWS24" s="246"/>
      <c r="GWT24" s="246"/>
      <c r="GWU24" s="246"/>
      <c r="GWV24" s="246"/>
      <c r="GWW24" s="246"/>
      <c r="GWX24" s="246"/>
      <c r="GWY24" s="246"/>
      <c r="GWZ24" s="246"/>
      <c r="GXA24" s="246"/>
      <c r="GXB24" s="246"/>
      <c r="GXC24" s="246"/>
      <c r="GXD24" s="246"/>
      <c r="GXE24" s="246"/>
      <c r="GXF24" s="246"/>
      <c r="GXG24" s="246"/>
      <c r="GXH24" s="246"/>
      <c r="GXI24" s="246"/>
      <c r="GXJ24" s="246"/>
      <c r="GXK24" s="246"/>
      <c r="GXL24" s="246"/>
      <c r="GXM24" s="246"/>
      <c r="GXN24" s="246"/>
      <c r="GXO24" s="246"/>
      <c r="GXP24" s="246"/>
      <c r="GXQ24" s="246"/>
      <c r="GXR24" s="246"/>
      <c r="GXS24" s="246"/>
      <c r="GXT24" s="246"/>
      <c r="GXU24" s="246"/>
      <c r="GXV24" s="246"/>
      <c r="GXW24" s="246"/>
      <c r="GXX24" s="246"/>
      <c r="GXY24" s="246"/>
      <c r="GXZ24" s="246"/>
      <c r="GYA24" s="246"/>
      <c r="GYB24" s="246"/>
      <c r="GYC24" s="246"/>
      <c r="GYD24" s="246"/>
      <c r="GYE24" s="246"/>
      <c r="GYF24" s="246"/>
      <c r="GYG24" s="246"/>
      <c r="GYH24" s="246"/>
      <c r="GYI24" s="246"/>
      <c r="GYJ24" s="246"/>
      <c r="GYK24" s="246"/>
      <c r="GYL24" s="246"/>
      <c r="GYM24" s="246"/>
      <c r="GYN24" s="246"/>
      <c r="GYO24" s="246"/>
      <c r="GYP24" s="246"/>
      <c r="GYQ24" s="246"/>
      <c r="GYR24" s="246"/>
      <c r="GYS24" s="246"/>
      <c r="GYT24" s="246"/>
      <c r="GYU24" s="246"/>
      <c r="GYV24" s="246"/>
      <c r="GYW24" s="246"/>
      <c r="GYX24" s="246"/>
      <c r="GYY24" s="246"/>
      <c r="GYZ24" s="246"/>
      <c r="GZA24" s="246"/>
      <c r="GZB24" s="246"/>
      <c r="GZC24" s="246"/>
      <c r="GZD24" s="246"/>
      <c r="GZE24" s="246"/>
      <c r="GZF24" s="246"/>
      <c r="GZG24" s="246"/>
      <c r="GZH24" s="246"/>
      <c r="GZI24" s="246"/>
      <c r="GZJ24" s="246"/>
      <c r="GZK24" s="246"/>
      <c r="GZL24" s="246"/>
      <c r="GZM24" s="246"/>
      <c r="GZN24" s="246"/>
      <c r="GZO24" s="246"/>
      <c r="GZP24" s="246"/>
      <c r="GZQ24" s="246"/>
      <c r="GZR24" s="246"/>
      <c r="GZS24" s="246"/>
      <c r="GZT24" s="246"/>
      <c r="GZU24" s="246"/>
      <c r="GZV24" s="246"/>
      <c r="GZW24" s="246"/>
      <c r="GZX24" s="246"/>
      <c r="GZY24" s="246"/>
      <c r="GZZ24" s="246"/>
      <c r="HAA24" s="246"/>
      <c r="HAB24" s="246"/>
      <c r="HAC24" s="246"/>
      <c r="HAD24" s="246"/>
      <c r="HAE24" s="246"/>
      <c r="HAF24" s="246"/>
      <c r="HAG24" s="246"/>
      <c r="HAH24" s="246"/>
      <c r="HAI24" s="246"/>
      <c r="HAJ24" s="246"/>
      <c r="HAK24" s="246"/>
      <c r="HAL24" s="246"/>
      <c r="HAM24" s="246"/>
      <c r="HAN24" s="246"/>
      <c r="HAO24" s="246"/>
      <c r="HAP24" s="246"/>
      <c r="HAQ24" s="246"/>
      <c r="HAR24" s="246"/>
      <c r="HAS24" s="246"/>
      <c r="HAT24" s="246"/>
      <c r="HAU24" s="246"/>
      <c r="HAV24" s="246"/>
      <c r="HAW24" s="246"/>
      <c r="HAX24" s="246"/>
      <c r="HAY24" s="246"/>
      <c r="HAZ24" s="246"/>
      <c r="HBA24" s="246"/>
      <c r="HBB24" s="246"/>
      <c r="HBC24" s="246"/>
      <c r="HBD24" s="246"/>
      <c r="HBE24" s="246"/>
      <c r="HBF24" s="246"/>
      <c r="HBG24" s="246"/>
      <c r="HBH24" s="246"/>
      <c r="HBI24" s="246"/>
      <c r="HBJ24" s="246"/>
      <c r="HBK24" s="246"/>
      <c r="HBL24" s="246"/>
      <c r="HBM24" s="246"/>
      <c r="HBN24" s="246"/>
      <c r="HBO24" s="246"/>
      <c r="HBP24" s="246"/>
      <c r="HBQ24" s="246"/>
      <c r="HBR24" s="246"/>
      <c r="HBS24" s="246"/>
      <c r="HBT24" s="246"/>
      <c r="HBU24" s="246"/>
      <c r="HBV24" s="246"/>
      <c r="HBW24" s="246"/>
      <c r="HBX24" s="246"/>
      <c r="HBY24" s="246"/>
      <c r="HBZ24" s="246"/>
      <c r="HCA24" s="246"/>
      <c r="HCB24" s="246"/>
      <c r="HCC24" s="246"/>
      <c r="HCD24" s="246"/>
      <c r="HCE24" s="246"/>
      <c r="HCF24" s="246"/>
      <c r="HCG24" s="246"/>
      <c r="HCH24" s="246"/>
      <c r="HCI24" s="246"/>
      <c r="HCJ24" s="246"/>
      <c r="HCK24" s="246"/>
      <c r="HCL24" s="246"/>
      <c r="HCM24" s="246"/>
      <c r="HCN24" s="246"/>
      <c r="HCO24" s="246"/>
      <c r="HCP24" s="246"/>
      <c r="HCQ24" s="246"/>
      <c r="HCR24" s="246"/>
      <c r="HCS24" s="246"/>
      <c r="HCT24" s="246"/>
      <c r="HCU24" s="246"/>
      <c r="HCV24" s="246"/>
      <c r="HCW24" s="246"/>
      <c r="HCX24" s="246"/>
      <c r="HCY24" s="246"/>
      <c r="HCZ24" s="246"/>
      <c r="HDA24" s="246"/>
      <c r="HDB24" s="246"/>
      <c r="HDC24" s="246"/>
      <c r="HDD24" s="246"/>
      <c r="HDE24" s="246"/>
      <c r="HDF24" s="246"/>
      <c r="HDG24" s="246"/>
      <c r="HDH24" s="246"/>
      <c r="HDI24" s="246"/>
      <c r="HDJ24" s="246"/>
      <c r="HDK24" s="246"/>
      <c r="HDL24" s="246"/>
      <c r="HDM24" s="246"/>
      <c r="HDN24" s="246"/>
      <c r="HDO24" s="246"/>
      <c r="HDP24" s="246"/>
      <c r="HDQ24" s="246"/>
      <c r="HDR24" s="246"/>
      <c r="HDS24" s="246"/>
      <c r="HDT24" s="246"/>
      <c r="HDU24" s="246"/>
      <c r="HDV24" s="246"/>
      <c r="HDW24" s="246"/>
      <c r="HDX24" s="246"/>
      <c r="HDY24" s="246"/>
      <c r="HDZ24" s="246"/>
      <c r="HEA24" s="246"/>
      <c r="HEB24" s="246"/>
      <c r="HEC24" s="246"/>
      <c r="HED24" s="246"/>
      <c r="HEE24" s="246"/>
      <c r="HEF24" s="246"/>
      <c r="HEG24" s="246"/>
      <c r="HEH24" s="246"/>
      <c r="HEI24" s="246"/>
      <c r="HEJ24" s="246"/>
      <c r="HEK24" s="246"/>
      <c r="HEL24" s="246"/>
      <c r="HEM24" s="246"/>
      <c r="HEN24" s="246"/>
      <c r="HEO24" s="246"/>
      <c r="HEP24" s="246"/>
      <c r="HEQ24" s="246"/>
      <c r="HER24" s="246"/>
      <c r="HES24" s="246"/>
      <c r="HET24" s="246"/>
      <c r="HEU24" s="246"/>
      <c r="HEV24" s="246"/>
      <c r="HEW24" s="246"/>
      <c r="HEX24" s="246"/>
      <c r="HEY24" s="246"/>
      <c r="HEZ24" s="246"/>
      <c r="HFA24" s="246"/>
      <c r="HFB24" s="246"/>
      <c r="HFC24" s="246"/>
      <c r="HFD24" s="246"/>
      <c r="HFE24" s="246"/>
      <c r="HFF24" s="246"/>
      <c r="HFG24" s="246"/>
      <c r="HFH24" s="246"/>
      <c r="HFI24" s="246"/>
      <c r="HFJ24" s="246"/>
      <c r="HFK24" s="246"/>
      <c r="HFL24" s="246"/>
      <c r="HFM24" s="246"/>
      <c r="HFN24" s="246"/>
      <c r="HFO24" s="246"/>
      <c r="HFP24" s="246"/>
      <c r="HFQ24" s="246"/>
      <c r="HFR24" s="246"/>
      <c r="HFS24" s="246"/>
      <c r="HFT24" s="246"/>
      <c r="HFU24" s="246"/>
      <c r="HFV24" s="246"/>
      <c r="HFW24" s="246"/>
      <c r="HFX24" s="246"/>
      <c r="HFY24" s="246"/>
      <c r="HFZ24" s="246"/>
      <c r="HGA24" s="246"/>
      <c r="HGB24" s="246"/>
      <c r="HGC24" s="246"/>
      <c r="HGD24" s="246"/>
      <c r="HGE24" s="246"/>
      <c r="HGF24" s="246"/>
      <c r="HGG24" s="246"/>
      <c r="HGH24" s="246"/>
      <c r="HGI24" s="246"/>
      <c r="HGJ24" s="246"/>
      <c r="HGK24" s="246"/>
      <c r="HGL24" s="246"/>
      <c r="HGM24" s="246"/>
      <c r="HGN24" s="246"/>
      <c r="HGO24" s="246"/>
      <c r="HGP24" s="246"/>
      <c r="HGQ24" s="246"/>
      <c r="HGR24" s="246"/>
      <c r="HGS24" s="246"/>
      <c r="HGT24" s="246"/>
      <c r="HGU24" s="246"/>
      <c r="HGV24" s="246"/>
      <c r="HGW24" s="246"/>
      <c r="HGX24" s="246"/>
      <c r="HGY24" s="246"/>
      <c r="HGZ24" s="246"/>
      <c r="HHA24" s="246"/>
      <c r="HHB24" s="246"/>
      <c r="HHC24" s="246"/>
      <c r="HHD24" s="246"/>
      <c r="HHE24" s="246"/>
      <c r="HHF24" s="246"/>
      <c r="HHG24" s="246"/>
      <c r="HHH24" s="246"/>
      <c r="HHI24" s="246"/>
      <c r="HHJ24" s="246"/>
      <c r="HHK24" s="246"/>
      <c r="HHL24" s="246"/>
      <c r="HHM24" s="246"/>
      <c r="HHN24" s="246"/>
      <c r="HHO24" s="246"/>
      <c r="HHP24" s="246"/>
      <c r="HHQ24" s="246"/>
      <c r="HHR24" s="246"/>
      <c r="HHS24" s="246"/>
      <c r="HHT24" s="246"/>
      <c r="HHU24" s="246"/>
      <c r="HHV24" s="246"/>
      <c r="HHW24" s="246"/>
      <c r="HHX24" s="246"/>
      <c r="HHY24" s="246"/>
      <c r="HHZ24" s="246"/>
      <c r="HIA24" s="246"/>
      <c r="HIB24" s="246"/>
      <c r="HIC24" s="246"/>
      <c r="HID24" s="246"/>
      <c r="HIE24" s="246"/>
      <c r="HIF24" s="246"/>
      <c r="HIG24" s="246"/>
      <c r="HIH24" s="246"/>
      <c r="HII24" s="246"/>
      <c r="HIJ24" s="246"/>
      <c r="HIK24" s="246"/>
      <c r="HIL24" s="246"/>
      <c r="HIM24" s="246"/>
      <c r="HIN24" s="246"/>
      <c r="HIO24" s="246"/>
      <c r="HIP24" s="246"/>
      <c r="HIQ24" s="246"/>
      <c r="HIR24" s="246"/>
      <c r="HIS24" s="246"/>
      <c r="HIT24" s="246"/>
      <c r="HIU24" s="246"/>
      <c r="HIV24" s="246"/>
      <c r="HIW24" s="246"/>
      <c r="HIX24" s="246"/>
      <c r="HIY24" s="246"/>
      <c r="HIZ24" s="246"/>
      <c r="HJA24" s="246"/>
      <c r="HJB24" s="246"/>
      <c r="HJC24" s="246"/>
      <c r="HJD24" s="246"/>
      <c r="HJE24" s="246"/>
      <c r="HJF24" s="246"/>
      <c r="HJG24" s="246"/>
      <c r="HJH24" s="246"/>
      <c r="HJI24" s="246"/>
      <c r="HJJ24" s="246"/>
      <c r="HJK24" s="246"/>
      <c r="HJL24" s="246"/>
      <c r="HJM24" s="246"/>
      <c r="HJN24" s="246"/>
      <c r="HJO24" s="246"/>
      <c r="HJP24" s="246"/>
      <c r="HJQ24" s="246"/>
      <c r="HJR24" s="246"/>
      <c r="HJS24" s="246"/>
      <c r="HJT24" s="246"/>
      <c r="HJU24" s="246"/>
      <c r="HJV24" s="246"/>
      <c r="HJW24" s="246"/>
      <c r="HJX24" s="246"/>
      <c r="HJY24" s="246"/>
      <c r="HJZ24" s="246"/>
      <c r="HKA24" s="246"/>
      <c r="HKB24" s="246"/>
      <c r="HKC24" s="246"/>
      <c r="HKD24" s="246"/>
      <c r="HKE24" s="246"/>
      <c r="HKF24" s="246"/>
      <c r="HKG24" s="246"/>
      <c r="HKH24" s="246"/>
      <c r="HKI24" s="246"/>
      <c r="HKJ24" s="246"/>
      <c r="HKK24" s="246"/>
      <c r="HKL24" s="246"/>
      <c r="HKM24" s="246"/>
      <c r="HKN24" s="246"/>
      <c r="HKO24" s="246"/>
      <c r="HKP24" s="246"/>
      <c r="HKQ24" s="246"/>
      <c r="HKR24" s="246"/>
      <c r="HKS24" s="246"/>
      <c r="HKT24" s="246"/>
      <c r="HKU24" s="246"/>
      <c r="HKV24" s="246"/>
      <c r="HKW24" s="246"/>
      <c r="HKX24" s="246"/>
      <c r="HKY24" s="246"/>
      <c r="HKZ24" s="246"/>
      <c r="HLA24" s="246"/>
      <c r="HLB24" s="246"/>
      <c r="HLC24" s="246"/>
      <c r="HLD24" s="246"/>
      <c r="HLE24" s="246"/>
      <c r="HLF24" s="246"/>
      <c r="HLG24" s="246"/>
      <c r="HLH24" s="246"/>
      <c r="HLI24" s="246"/>
      <c r="HLJ24" s="246"/>
      <c r="HLK24" s="246"/>
      <c r="HLL24" s="246"/>
      <c r="HLM24" s="246"/>
      <c r="HLN24" s="246"/>
      <c r="HLO24" s="246"/>
      <c r="HLP24" s="246"/>
      <c r="HLQ24" s="246"/>
      <c r="HLR24" s="246"/>
      <c r="HLS24" s="246"/>
      <c r="HLT24" s="246"/>
      <c r="HLU24" s="246"/>
      <c r="HLV24" s="246"/>
      <c r="HLW24" s="246"/>
      <c r="HLX24" s="246"/>
      <c r="HLY24" s="246"/>
      <c r="HLZ24" s="246"/>
      <c r="HMA24" s="246"/>
      <c r="HMB24" s="246"/>
      <c r="HMC24" s="246"/>
      <c r="HMD24" s="246"/>
      <c r="HME24" s="246"/>
      <c r="HMF24" s="246"/>
      <c r="HMG24" s="246"/>
      <c r="HMH24" s="246"/>
      <c r="HMI24" s="246"/>
      <c r="HMJ24" s="246"/>
      <c r="HMK24" s="246"/>
      <c r="HML24" s="246"/>
      <c r="HMM24" s="246"/>
      <c r="HMN24" s="246"/>
      <c r="HMO24" s="246"/>
      <c r="HMP24" s="246"/>
      <c r="HMQ24" s="246"/>
      <c r="HMR24" s="246"/>
      <c r="HMS24" s="246"/>
      <c r="HMT24" s="246"/>
      <c r="HMU24" s="246"/>
      <c r="HMV24" s="246"/>
      <c r="HMW24" s="246"/>
      <c r="HMX24" s="246"/>
      <c r="HMY24" s="246"/>
      <c r="HMZ24" s="246"/>
      <c r="HNA24" s="246"/>
      <c r="HNB24" s="246"/>
      <c r="HNC24" s="246"/>
      <c r="HND24" s="246"/>
      <c r="HNE24" s="246"/>
      <c r="HNF24" s="246"/>
      <c r="HNG24" s="246"/>
      <c r="HNH24" s="246"/>
      <c r="HNI24" s="246"/>
      <c r="HNJ24" s="246"/>
      <c r="HNK24" s="246"/>
      <c r="HNL24" s="246"/>
      <c r="HNM24" s="246"/>
      <c r="HNN24" s="246"/>
      <c r="HNO24" s="246"/>
      <c r="HNP24" s="246"/>
      <c r="HNQ24" s="246"/>
      <c r="HNR24" s="246"/>
      <c r="HNS24" s="246"/>
      <c r="HNT24" s="246"/>
      <c r="HNU24" s="246"/>
      <c r="HNV24" s="246"/>
      <c r="HNW24" s="246"/>
      <c r="HNX24" s="246"/>
      <c r="HNY24" s="246"/>
      <c r="HNZ24" s="246"/>
      <c r="HOA24" s="246"/>
      <c r="HOB24" s="246"/>
      <c r="HOC24" s="246"/>
      <c r="HOD24" s="246"/>
      <c r="HOE24" s="246"/>
      <c r="HOF24" s="246"/>
      <c r="HOG24" s="246"/>
      <c r="HOH24" s="246"/>
      <c r="HOI24" s="246"/>
      <c r="HOJ24" s="246"/>
      <c r="HOK24" s="246"/>
      <c r="HOL24" s="246"/>
      <c r="HOM24" s="246"/>
      <c r="HON24" s="246"/>
      <c r="HOO24" s="246"/>
      <c r="HOP24" s="246"/>
      <c r="HOQ24" s="246"/>
      <c r="HOR24" s="246"/>
      <c r="HOS24" s="246"/>
      <c r="HOT24" s="246"/>
      <c r="HOU24" s="246"/>
      <c r="HOV24" s="246"/>
      <c r="HOW24" s="246"/>
      <c r="HOX24" s="246"/>
      <c r="HOY24" s="246"/>
      <c r="HOZ24" s="246"/>
      <c r="HPA24" s="246"/>
      <c r="HPB24" s="246"/>
      <c r="HPC24" s="246"/>
      <c r="HPD24" s="246"/>
      <c r="HPE24" s="246"/>
      <c r="HPF24" s="246"/>
      <c r="HPG24" s="246"/>
      <c r="HPH24" s="246"/>
      <c r="HPI24" s="246"/>
      <c r="HPJ24" s="246"/>
      <c r="HPK24" s="246"/>
      <c r="HPL24" s="246"/>
      <c r="HPM24" s="246"/>
      <c r="HPN24" s="246"/>
      <c r="HPO24" s="246"/>
      <c r="HPP24" s="246"/>
      <c r="HPQ24" s="246"/>
      <c r="HPR24" s="246"/>
      <c r="HPS24" s="246"/>
      <c r="HPT24" s="246"/>
      <c r="HPU24" s="246"/>
      <c r="HPV24" s="246"/>
      <c r="HPW24" s="246"/>
      <c r="HPX24" s="246"/>
      <c r="HPY24" s="246"/>
      <c r="HPZ24" s="246"/>
      <c r="HQA24" s="246"/>
      <c r="HQB24" s="246"/>
      <c r="HQC24" s="246"/>
      <c r="HQD24" s="246"/>
      <c r="HQE24" s="246"/>
      <c r="HQF24" s="246"/>
      <c r="HQG24" s="246"/>
      <c r="HQH24" s="246"/>
      <c r="HQI24" s="246"/>
      <c r="HQJ24" s="246"/>
      <c r="HQK24" s="246"/>
      <c r="HQL24" s="246"/>
      <c r="HQM24" s="246"/>
      <c r="HQN24" s="246"/>
      <c r="HQO24" s="246"/>
      <c r="HQP24" s="246"/>
      <c r="HQQ24" s="246"/>
      <c r="HQR24" s="246"/>
      <c r="HQS24" s="246"/>
      <c r="HQT24" s="246"/>
      <c r="HQU24" s="246"/>
      <c r="HQV24" s="246"/>
      <c r="HQW24" s="246"/>
      <c r="HQX24" s="246"/>
      <c r="HQY24" s="246"/>
      <c r="HQZ24" s="246"/>
      <c r="HRA24" s="246"/>
      <c r="HRB24" s="246"/>
      <c r="HRC24" s="246"/>
      <c r="HRD24" s="246"/>
      <c r="HRE24" s="246"/>
      <c r="HRF24" s="246"/>
      <c r="HRG24" s="246"/>
      <c r="HRH24" s="246"/>
      <c r="HRI24" s="246"/>
      <c r="HRJ24" s="246"/>
      <c r="HRK24" s="246"/>
      <c r="HRL24" s="246"/>
      <c r="HRM24" s="246"/>
      <c r="HRN24" s="246"/>
      <c r="HRO24" s="246"/>
      <c r="HRP24" s="246"/>
      <c r="HRQ24" s="246"/>
      <c r="HRR24" s="246"/>
      <c r="HRS24" s="246"/>
      <c r="HRT24" s="246"/>
      <c r="HRU24" s="246"/>
      <c r="HRV24" s="246"/>
      <c r="HRW24" s="246"/>
      <c r="HRX24" s="246"/>
      <c r="HRY24" s="246"/>
      <c r="HRZ24" s="246"/>
      <c r="HSA24" s="246"/>
      <c r="HSB24" s="246"/>
      <c r="HSC24" s="246"/>
      <c r="HSD24" s="246"/>
      <c r="HSE24" s="246"/>
      <c r="HSF24" s="246"/>
      <c r="HSG24" s="246"/>
      <c r="HSH24" s="246"/>
      <c r="HSI24" s="246"/>
      <c r="HSJ24" s="246"/>
      <c r="HSK24" s="246"/>
      <c r="HSL24" s="246"/>
      <c r="HSM24" s="246"/>
      <c r="HSN24" s="246"/>
      <c r="HSO24" s="246"/>
      <c r="HSP24" s="246"/>
      <c r="HSQ24" s="246"/>
      <c r="HSR24" s="246"/>
      <c r="HSS24" s="246"/>
      <c r="HST24" s="246"/>
      <c r="HSU24" s="246"/>
      <c r="HSV24" s="246"/>
      <c r="HSW24" s="246"/>
      <c r="HSX24" s="246"/>
      <c r="HSY24" s="246"/>
      <c r="HSZ24" s="246"/>
      <c r="HTA24" s="246"/>
      <c r="HTB24" s="246"/>
      <c r="HTC24" s="246"/>
      <c r="HTD24" s="246"/>
      <c r="HTE24" s="246"/>
      <c r="HTF24" s="246"/>
      <c r="HTG24" s="246"/>
      <c r="HTH24" s="246"/>
      <c r="HTI24" s="246"/>
      <c r="HTJ24" s="246"/>
      <c r="HTK24" s="246"/>
      <c r="HTL24" s="246"/>
      <c r="HTM24" s="246"/>
      <c r="HTN24" s="246"/>
      <c r="HTO24" s="246"/>
      <c r="HTP24" s="246"/>
      <c r="HTQ24" s="246"/>
      <c r="HTR24" s="246"/>
      <c r="HTS24" s="246"/>
      <c r="HTT24" s="246"/>
      <c r="HTU24" s="246"/>
      <c r="HTV24" s="246"/>
      <c r="HTW24" s="246"/>
      <c r="HTX24" s="246"/>
      <c r="HTY24" s="246"/>
      <c r="HTZ24" s="246"/>
      <c r="HUA24" s="246"/>
      <c r="HUB24" s="246"/>
      <c r="HUC24" s="246"/>
      <c r="HUD24" s="246"/>
      <c r="HUE24" s="246"/>
      <c r="HUF24" s="246"/>
      <c r="HUG24" s="246"/>
      <c r="HUH24" s="246"/>
      <c r="HUI24" s="246"/>
      <c r="HUJ24" s="246"/>
      <c r="HUK24" s="246"/>
      <c r="HUL24" s="246"/>
      <c r="HUM24" s="246"/>
      <c r="HUN24" s="246"/>
      <c r="HUO24" s="246"/>
      <c r="HUP24" s="246"/>
      <c r="HUQ24" s="246"/>
      <c r="HUR24" s="246"/>
      <c r="HUS24" s="246"/>
      <c r="HUT24" s="246"/>
      <c r="HUU24" s="246"/>
      <c r="HUV24" s="246"/>
      <c r="HUW24" s="246"/>
      <c r="HUX24" s="246"/>
      <c r="HUY24" s="246"/>
      <c r="HUZ24" s="246"/>
      <c r="HVA24" s="246"/>
      <c r="HVB24" s="246"/>
      <c r="HVC24" s="246"/>
      <c r="HVD24" s="246"/>
      <c r="HVE24" s="246"/>
      <c r="HVF24" s="246"/>
      <c r="HVG24" s="246"/>
      <c r="HVH24" s="246"/>
      <c r="HVI24" s="246"/>
      <c r="HVJ24" s="246"/>
      <c r="HVK24" s="246"/>
      <c r="HVL24" s="246"/>
      <c r="HVM24" s="246"/>
      <c r="HVN24" s="246"/>
      <c r="HVO24" s="246"/>
      <c r="HVP24" s="246"/>
      <c r="HVQ24" s="246"/>
      <c r="HVR24" s="246"/>
      <c r="HVS24" s="246"/>
      <c r="HVT24" s="246"/>
      <c r="HVU24" s="246"/>
      <c r="HVV24" s="246"/>
      <c r="HVW24" s="246"/>
      <c r="HVX24" s="246"/>
      <c r="HVY24" s="246"/>
      <c r="HVZ24" s="246"/>
      <c r="HWA24" s="246"/>
      <c r="HWB24" s="246"/>
      <c r="HWC24" s="246"/>
      <c r="HWD24" s="246"/>
      <c r="HWE24" s="246"/>
      <c r="HWF24" s="246"/>
      <c r="HWG24" s="246"/>
      <c r="HWH24" s="246"/>
      <c r="HWI24" s="246"/>
      <c r="HWJ24" s="246"/>
      <c r="HWK24" s="246"/>
      <c r="HWL24" s="246"/>
      <c r="HWM24" s="246"/>
      <c r="HWN24" s="246"/>
      <c r="HWO24" s="246"/>
      <c r="HWP24" s="246"/>
      <c r="HWQ24" s="246"/>
      <c r="HWR24" s="246"/>
      <c r="HWS24" s="246"/>
      <c r="HWT24" s="246"/>
      <c r="HWU24" s="246"/>
      <c r="HWV24" s="246"/>
      <c r="HWW24" s="246"/>
      <c r="HWX24" s="246"/>
      <c r="HWY24" s="246"/>
      <c r="HWZ24" s="246"/>
      <c r="HXA24" s="246"/>
      <c r="HXB24" s="246"/>
      <c r="HXC24" s="246"/>
      <c r="HXD24" s="246"/>
      <c r="HXE24" s="246"/>
      <c r="HXF24" s="246"/>
      <c r="HXG24" s="246"/>
      <c r="HXH24" s="246"/>
      <c r="HXI24" s="246"/>
      <c r="HXJ24" s="246"/>
      <c r="HXK24" s="246"/>
      <c r="HXL24" s="246"/>
      <c r="HXM24" s="246"/>
      <c r="HXN24" s="246"/>
      <c r="HXO24" s="246"/>
      <c r="HXP24" s="246"/>
      <c r="HXQ24" s="246"/>
      <c r="HXR24" s="246"/>
      <c r="HXS24" s="246"/>
      <c r="HXT24" s="246"/>
      <c r="HXU24" s="246"/>
      <c r="HXV24" s="246"/>
      <c r="HXW24" s="246"/>
      <c r="HXX24" s="246"/>
      <c r="HXY24" s="246"/>
      <c r="HXZ24" s="246"/>
      <c r="HYA24" s="246"/>
      <c r="HYB24" s="246"/>
      <c r="HYC24" s="246"/>
      <c r="HYD24" s="246"/>
      <c r="HYE24" s="246"/>
      <c r="HYF24" s="246"/>
      <c r="HYG24" s="246"/>
      <c r="HYH24" s="246"/>
      <c r="HYI24" s="246"/>
      <c r="HYJ24" s="246"/>
      <c r="HYK24" s="246"/>
      <c r="HYL24" s="246"/>
      <c r="HYM24" s="246"/>
      <c r="HYN24" s="246"/>
      <c r="HYO24" s="246"/>
      <c r="HYP24" s="246"/>
      <c r="HYQ24" s="246"/>
      <c r="HYR24" s="246"/>
      <c r="HYS24" s="246"/>
      <c r="HYT24" s="246"/>
      <c r="HYU24" s="246"/>
      <c r="HYV24" s="246"/>
      <c r="HYW24" s="246"/>
      <c r="HYX24" s="246"/>
      <c r="HYY24" s="246"/>
      <c r="HYZ24" s="246"/>
      <c r="HZA24" s="246"/>
      <c r="HZB24" s="246"/>
      <c r="HZC24" s="246"/>
      <c r="HZD24" s="246"/>
      <c r="HZE24" s="246"/>
      <c r="HZF24" s="246"/>
      <c r="HZG24" s="246"/>
      <c r="HZH24" s="246"/>
      <c r="HZI24" s="246"/>
      <c r="HZJ24" s="246"/>
      <c r="HZK24" s="246"/>
      <c r="HZL24" s="246"/>
      <c r="HZM24" s="246"/>
      <c r="HZN24" s="246"/>
      <c r="HZO24" s="246"/>
      <c r="HZP24" s="246"/>
      <c r="HZQ24" s="246"/>
      <c r="HZR24" s="246"/>
      <c r="HZS24" s="246"/>
      <c r="HZT24" s="246"/>
      <c r="HZU24" s="246"/>
      <c r="HZV24" s="246"/>
      <c r="HZW24" s="246"/>
      <c r="HZX24" s="246"/>
      <c r="HZY24" s="246"/>
      <c r="HZZ24" s="246"/>
      <c r="IAA24" s="246"/>
      <c r="IAB24" s="246"/>
      <c r="IAC24" s="246"/>
      <c r="IAD24" s="246"/>
      <c r="IAE24" s="246"/>
      <c r="IAF24" s="246"/>
      <c r="IAG24" s="246"/>
      <c r="IAH24" s="246"/>
      <c r="IAI24" s="246"/>
      <c r="IAJ24" s="246"/>
      <c r="IAK24" s="246"/>
      <c r="IAL24" s="246"/>
      <c r="IAM24" s="246"/>
      <c r="IAN24" s="246"/>
      <c r="IAO24" s="246"/>
      <c r="IAP24" s="246"/>
      <c r="IAQ24" s="246"/>
      <c r="IAR24" s="246"/>
      <c r="IAS24" s="246"/>
      <c r="IAT24" s="246"/>
      <c r="IAU24" s="246"/>
      <c r="IAV24" s="246"/>
      <c r="IAW24" s="246"/>
      <c r="IAX24" s="246"/>
      <c r="IAY24" s="246"/>
      <c r="IAZ24" s="246"/>
      <c r="IBA24" s="246"/>
      <c r="IBB24" s="246"/>
      <c r="IBC24" s="246"/>
      <c r="IBD24" s="246"/>
      <c r="IBE24" s="246"/>
      <c r="IBF24" s="246"/>
      <c r="IBG24" s="246"/>
      <c r="IBH24" s="246"/>
      <c r="IBI24" s="246"/>
      <c r="IBJ24" s="246"/>
      <c r="IBK24" s="246"/>
      <c r="IBL24" s="246"/>
      <c r="IBM24" s="246"/>
      <c r="IBN24" s="246"/>
      <c r="IBO24" s="246"/>
      <c r="IBP24" s="246"/>
      <c r="IBQ24" s="246"/>
      <c r="IBR24" s="246"/>
      <c r="IBS24" s="246"/>
      <c r="IBT24" s="246"/>
      <c r="IBU24" s="246"/>
      <c r="IBV24" s="246"/>
      <c r="IBW24" s="246"/>
      <c r="IBX24" s="246"/>
      <c r="IBY24" s="246"/>
      <c r="IBZ24" s="246"/>
      <c r="ICA24" s="246"/>
      <c r="ICB24" s="246"/>
      <c r="ICC24" s="246"/>
      <c r="ICD24" s="246"/>
      <c r="ICE24" s="246"/>
      <c r="ICF24" s="246"/>
      <c r="ICG24" s="246"/>
      <c r="ICH24" s="246"/>
      <c r="ICI24" s="246"/>
      <c r="ICJ24" s="246"/>
      <c r="ICK24" s="246"/>
      <c r="ICL24" s="246"/>
      <c r="ICM24" s="246"/>
      <c r="ICN24" s="246"/>
      <c r="ICO24" s="246"/>
      <c r="ICP24" s="246"/>
      <c r="ICQ24" s="246"/>
      <c r="ICR24" s="246"/>
      <c r="ICS24" s="246"/>
      <c r="ICT24" s="246"/>
      <c r="ICU24" s="246"/>
      <c r="ICV24" s="246"/>
      <c r="ICW24" s="246"/>
      <c r="ICX24" s="246"/>
      <c r="ICY24" s="246"/>
      <c r="ICZ24" s="246"/>
      <c r="IDA24" s="246"/>
      <c r="IDB24" s="246"/>
      <c r="IDC24" s="246"/>
      <c r="IDD24" s="246"/>
      <c r="IDE24" s="246"/>
      <c r="IDF24" s="246"/>
      <c r="IDG24" s="246"/>
      <c r="IDH24" s="246"/>
      <c r="IDI24" s="246"/>
      <c r="IDJ24" s="246"/>
      <c r="IDK24" s="246"/>
      <c r="IDL24" s="246"/>
      <c r="IDM24" s="246"/>
      <c r="IDN24" s="246"/>
      <c r="IDO24" s="246"/>
      <c r="IDP24" s="246"/>
      <c r="IDQ24" s="246"/>
      <c r="IDR24" s="246"/>
      <c r="IDS24" s="246"/>
      <c r="IDT24" s="246"/>
      <c r="IDU24" s="246"/>
      <c r="IDV24" s="246"/>
      <c r="IDW24" s="246"/>
      <c r="IDX24" s="246"/>
      <c r="IDY24" s="246"/>
      <c r="IDZ24" s="246"/>
      <c r="IEA24" s="246"/>
      <c r="IEB24" s="246"/>
      <c r="IEC24" s="246"/>
      <c r="IED24" s="246"/>
      <c r="IEE24" s="246"/>
      <c r="IEF24" s="246"/>
      <c r="IEG24" s="246"/>
      <c r="IEH24" s="246"/>
      <c r="IEI24" s="246"/>
      <c r="IEJ24" s="246"/>
      <c r="IEK24" s="246"/>
      <c r="IEL24" s="246"/>
      <c r="IEM24" s="246"/>
      <c r="IEN24" s="246"/>
      <c r="IEO24" s="246"/>
      <c r="IEP24" s="246"/>
      <c r="IEQ24" s="246"/>
      <c r="IER24" s="246"/>
      <c r="IES24" s="246"/>
      <c r="IET24" s="246"/>
      <c r="IEU24" s="246"/>
      <c r="IEV24" s="246"/>
      <c r="IEW24" s="246"/>
      <c r="IEX24" s="246"/>
      <c r="IEY24" s="246"/>
      <c r="IEZ24" s="246"/>
      <c r="IFA24" s="246"/>
      <c r="IFB24" s="246"/>
      <c r="IFC24" s="246"/>
      <c r="IFD24" s="246"/>
      <c r="IFE24" s="246"/>
      <c r="IFF24" s="246"/>
      <c r="IFG24" s="246"/>
      <c r="IFH24" s="246"/>
      <c r="IFI24" s="246"/>
      <c r="IFJ24" s="246"/>
      <c r="IFK24" s="246"/>
      <c r="IFL24" s="246"/>
      <c r="IFM24" s="246"/>
      <c r="IFN24" s="246"/>
      <c r="IFO24" s="246"/>
      <c r="IFP24" s="246"/>
      <c r="IFQ24" s="246"/>
      <c r="IFR24" s="246"/>
      <c r="IFS24" s="246"/>
      <c r="IFT24" s="246"/>
      <c r="IFU24" s="246"/>
      <c r="IFV24" s="246"/>
      <c r="IFW24" s="246"/>
      <c r="IFX24" s="246"/>
      <c r="IFY24" s="246"/>
      <c r="IFZ24" s="246"/>
      <c r="IGA24" s="246"/>
      <c r="IGB24" s="246"/>
      <c r="IGC24" s="246"/>
      <c r="IGD24" s="246"/>
      <c r="IGE24" s="246"/>
      <c r="IGF24" s="246"/>
      <c r="IGG24" s="246"/>
      <c r="IGH24" s="246"/>
      <c r="IGI24" s="246"/>
      <c r="IGJ24" s="246"/>
      <c r="IGK24" s="246"/>
      <c r="IGL24" s="246"/>
      <c r="IGM24" s="246"/>
      <c r="IGN24" s="246"/>
      <c r="IGO24" s="246"/>
      <c r="IGP24" s="246"/>
      <c r="IGQ24" s="246"/>
      <c r="IGR24" s="246"/>
      <c r="IGS24" s="246"/>
      <c r="IGT24" s="246"/>
      <c r="IGU24" s="246"/>
      <c r="IGV24" s="246"/>
      <c r="IGW24" s="246"/>
      <c r="IGX24" s="246"/>
      <c r="IGY24" s="246"/>
      <c r="IGZ24" s="246"/>
      <c r="IHA24" s="246"/>
      <c r="IHB24" s="246"/>
      <c r="IHC24" s="246"/>
      <c r="IHD24" s="246"/>
      <c r="IHE24" s="246"/>
      <c r="IHF24" s="246"/>
      <c r="IHG24" s="246"/>
      <c r="IHH24" s="246"/>
      <c r="IHI24" s="246"/>
      <c r="IHJ24" s="246"/>
      <c r="IHK24" s="246"/>
      <c r="IHL24" s="246"/>
      <c r="IHM24" s="246"/>
      <c r="IHN24" s="246"/>
      <c r="IHO24" s="246"/>
      <c r="IHP24" s="246"/>
      <c r="IHQ24" s="246"/>
      <c r="IHR24" s="246"/>
      <c r="IHS24" s="246"/>
      <c r="IHT24" s="246"/>
      <c r="IHU24" s="246"/>
      <c r="IHV24" s="246"/>
      <c r="IHW24" s="246"/>
      <c r="IHX24" s="246"/>
      <c r="IHY24" s="246"/>
      <c r="IHZ24" s="246"/>
      <c r="IIA24" s="246"/>
      <c r="IIB24" s="246"/>
      <c r="IIC24" s="246"/>
      <c r="IID24" s="246"/>
      <c r="IIE24" s="246"/>
      <c r="IIF24" s="246"/>
      <c r="IIG24" s="246"/>
      <c r="IIH24" s="246"/>
      <c r="III24" s="246"/>
      <c r="IIJ24" s="246"/>
      <c r="IIK24" s="246"/>
      <c r="IIL24" s="246"/>
      <c r="IIM24" s="246"/>
      <c r="IIN24" s="246"/>
      <c r="IIO24" s="246"/>
      <c r="IIP24" s="246"/>
      <c r="IIQ24" s="246"/>
      <c r="IIR24" s="246"/>
      <c r="IIS24" s="246"/>
      <c r="IIT24" s="246"/>
      <c r="IIU24" s="246"/>
      <c r="IIV24" s="246"/>
      <c r="IIW24" s="246"/>
      <c r="IIX24" s="246"/>
      <c r="IIY24" s="246"/>
      <c r="IIZ24" s="246"/>
      <c r="IJA24" s="246"/>
      <c r="IJB24" s="246"/>
      <c r="IJC24" s="246"/>
      <c r="IJD24" s="246"/>
      <c r="IJE24" s="246"/>
      <c r="IJF24" s="246"/>
      <c r="IJG24" s="246"/>
      <c r="IJH24" s="246"/>
      <c r="IJI24" s="246"/>
      <c r="IJJ24" s="246"/>
      <c r="IJK24" s="246"/>
      <c r="IJL24" s="246"/>
      <c r="IJM24" s="246"/>
      <c r="IJN24" s="246"/>
      <c r="IJO24" s="246"/>
      <c r="IJP24" s="246"/>
      <c r="IJQ24" s="246"/>
      <c r="IJR24" s="246"/>
      <c r="IJS24" s="246"/>
      <c r="IJT24" s="246"/>
      <c r="IJU24" s="246"/>
      <c r="IJV24" s="246"/>
      <c r="IJW24" s="246"/>
      <c r="IJX24" s="246"/>
      <c r="IJY24" s="246"/>
      <c r="IJZ24" s="246"/>
      <c r="IKA24" s="246"/>
      <c r="IKB24" s="246"/>
      <c r="IKC24" s="246"/>
      <c r="IKD24" s="246"/>
      <c r="IKE24" s="246"/>
      <c r="IKF24" s="246"/>
      <c r="IKG24" s="246"/>
      <c r="IKH24" s="246"/>
      <c r="IKI24" s="246"/>
      <c r="IKJ24" s="246"/>
      <c r="IKK24" s="246"/>
      <c r="IKL24" s="246"/>
      <c r="IKM24" s="246"/>
      <c r="IKN24" s="246"/>
      <c r="IKO24" s="246"/>
      <c r="IKP24" s="246"/>
      <c r="IKQ24" s="246"/>
      <c r="IKR24" s="246"/>
      <c r="IKS24" s="246"/>
      <c r="IKT24" s="246"/>
      <c r="IKU24" s="246"/>
      <c r="IKV24" s="246"/>
      <c r="IKW24" s="246"/>
      <c r="IKX24" s="246"/>
      <c r="IKY24" s="246"/>
      <c r="IKZ24" s="246"/>
      <c r="ILA24" s="246"/>
      <c r="ILB24" s="246"/>
      <c r="ILC24" s="246"/>
      <c r="ILD24" s="246"/>
      <c r="ILE24" s="246"/>
      <c r="ILF24" s="246"/>
      <c r="ILG24" s="246"/>
      <c r="ILH24" s="246"/>
      <c r="ILI24" s="246"/>
      <c r="ILJ24" s="246"/>
      <c r="ILK24" s="246"/>
      <c r="ILL24" s="246"/>
      <c r="ILM24" s="246"/>
      <c r="ILN24" s="246"/>
      <c r="ILO24" s="246"/>
      <c r="ILP24" s="246"/>
      <c r="ILQ24" s="246"/>
      <c r="ILR24" s="246"/>
      <c r="ILS24" s="246"/>
      <c r="ILT24" s="246"/>
      <c r="ILU24" s="246"/>
      <c r="ILV24" s="246"/>
      <c r="ILW24" s="246"/>
      <c r="ILX24" s="246"/>
      <c r="ILY24" s="246"/>
      <c r="ILZ24" s="246"/>
      <c r="IMA24" s="246"/>
      <c r="IMB24" s="246"/>
      <c r="IMC24" s="246"/>
      <c r="IMD24" s="246"/>
      <c r="IME24" s="246"/>
      <c r="IMF24" s="246"/>
      <c r="IMG24" s="246"/>
      <c r="IMH24" s="246"/>
      <c r="IMI24" s="246"/>
      <c r="IMJ24" s="246"/>
      <c r="IMK24" s="246"/>
      <c r="IML24" s="246"/>
      <c r="IMM24" s="246"/>
      <c r="IMN24" s="246"/>
      <c r="IMO24" s="246"/>
      <c r="IMP24" s="246"/>
      <c r="IMQ24" s="246"/>
      <c r="IMR24" s="246"/>
      <c r="IMS24" s="246"/>
      <c r="IMT24" s="246"/>
      <c r="IMU24" s="246"/>
      <c r="IMV24" s="246"/>
      <c r="IMW24" s="246"/>
      <c r="IMX24" s="246"/>
      <c r="IMY24" s="246"/>
      <c r="IMZ24" s="246"/>
      <c r="INA24" s="246"/>
      <c r="INB24" s="246"/>
      <c r="INC24" s="246"/>
      <c r="IND24" s="246"/>
      <c r="INE24" s="246"/>
      <c r="INF24" s="246"/>
      <c r="ING24" s="246"/>
      <c r="INH24" s="246"/>
      <c r="INI24" s="246"/>
      <c r="INJ24" s="246"/>
      <c r="INK24" s="246"/>
      <c r="INL24" s="246"/>
      <c r="INM24" s="246"/>
      <c r="INN24" s="246"/>
      <c r="INO24" s="246"/>
      <c r="INP24" s="246"/>
      <c r="INQ24" s="246"/>
      <c r="INR24" s="246"/>
      <c r="INS24" s="246"/>
      <c r="INT24" s="246"/>
      <c r="INU24" s="246"/>
      <c r="INV24" s="246"/>
      <c r="INW24" s="246"/>
      <c r="INX24" s="246"/>
      <c r="INY24" s="246"/>
      <c r="INZ24" s="246"/>
      <c r="IOA24" s="246"/>
      <c r="IOB24" s="246"/>
      <c r="IOC24" s="246"/>
      <c r="IOD24" s="246"/>
      <c r="IOE24" s="246"/>
      <c r="IOF24" s="246"/>
      <c r="IOG24" s="246"/>
      <c r="IOH24" s="246"/>
      <c r="IOI24" s="246"/>
      <c r="IOJ24" s="246"/>
      <c r="IOK24" s="246"/>
      <c r="IOL24" s="246"/>
      <c r="IOM24" s="246"/>
      <c r="ION24" s="246"/>
      <c r="IOO24" s="246"/>
      <c r="IOP24" s="246"/>
      <c r="IOQ24" s="246"/>
      <c r="IOR24" s="246"/>
      <c r="IOS24" s="246"/>
      <c r="IOT24" s="246"/>
      <c r="IOU24" s="246"/>
      <c r="IOV24" s="246"/>
      <c r="IOW24" s="246"/>
      <c r="IOX24" s="246"/>
      <c r="IOY24" s="246"/>
      <c r="IOZ24" s="246"/>
      <c r="IPA24" s="246"/>
      <c r="IPB24" s="246"/>
      <c r="IPC24" s="246"/>
      <c r="IPD24" s="246"/>
      <c r="IPE24" s="246"/>
      <c r="IPF24" s="246"/>
      <c r="IPG24" s="246"/>
      <c r="IPH24" s="246"/>
      <c r="IPI24" s="246"/>
      <c r="IPJ24" s="246"/>
      <c r="IPK24" s="246"/>
      <c r="IPL24" s="246"/>
      <c r="IPM24" s="246"/>
      <c r="IPN24" s="246"/>
      <c r="IPO24" s="246"/>
      <c r="IPP24" s="246"/>
      <c r="IPQ24" s="246"/>
      <c r="IPR24" s="246"/>
      <c r="IPS24" s="246"/>
      <c r="IPT24" s="246"/>
      <c r="IPU24" s="246"/>
      <c r="IPV24" s="246"/>
      <c r="IPW24" s="246"/>
      <c r="IPX24" s="246"/>
      <c r="IPY24" s="246"/>
      <c r="IPZ24" s="246"/>
      <c r="IQA24" s="246"/>
      <c r="IQB24" s="246"/>
      <c r="IQC24" s="246"/>
      <c r="IQD24" s="246"/>
      <c r="IQE24" s="246"/>
      <c r="IQF24" s="246"/>
      <c r="IQG24" s="246"/>
      <c r="IQH24" s="246"/>
      <c r="IQI24" s="246"/>
      <c r="IQJ24" s="246"/>
      <c r="IQK24" s="246"/>
      <c r="IQL24" s="246"/>
      <c r="IQM24" s="246"/>
      <c r="IQN24" s="246"/>
      <c r="IQO24" s="246"/>
      <c r="IQP24" s="246"/>
      <c r="IQQ24" s="246"/>
      <c r="IQR24" s="246"/>
      <c r="IQS24" s="246"/>
      <c r="IQT24" s="246"/>
      <c r="IQU24" s="246"/>
      <c r="IQV24" s="246"/>
      <c r="IQW24" s="246"/>
      <c r="IQX24" s="246"/>
      <c r="IQY24" s="246"/>
      <c r="IQZ24" s="246"/>
      <c r="IRA24" s="246"/>
      <c r="IRB24" s="246"/>
      <c r="IRC24" s="246"/>
      <c r="IRD24" s="246"/>
      <c r="IRE24" s="246"/>
      <c r="IRF24" s="246"/>
      <c r="IRG24" s="246"/>
      <c r="IRH24" s="246"/>
      <c r="IRI24" s="246"/>
      <c r="IRJ24" s="246"/>
      <c r="IRK24" s="246"/>
      <c r="IRL24" s="246"/>
      <c r="IRM24" s="246"/>
      <c r="IRN24" s="246"/>
      <c r="IRO24" s="246"/>
      <c r="IRP24" s="246"/>
      <c r="IRQ24" s="246"/>
      <c r="IRR24" s="246"/>
      <c r="IRS24" s="246"/>
      <c r="IRT24" s="246"/>
      <c r="IRU24" s="246"/>
      <c r="IRV24" s="246"/>
      <c r="IRW24" s="246"/>
      <c r="IRX24" s="246"/>
      <c r="IRY24" s="246"/>
      <c r="IRZ24" s="246"/>
      <c r="ISA24" s="246"/>
      <c r="ISB24" s="246"/>
      <c r="ISC24" s="246"/>
      <c r="ISD24" s="246"/>
      <c r="ISE24" s="246"/>
      <c r="ISF24" s="246"/>
      <c r="ISG24" s="246"/>
      <c r="ISH24" s="246"/>
      <c r="ISI24" s="246"/>
      <c r="ISJ24" s="246"/>
      <c r="ISK24" s="246"/>
      <c r="ISL24" s="246"/>
      <c r="ISM24" s="246"/>
      <c r="ISN24" s="246"/>
      <c r="ISO24" s="246"/>
      <c r="ISP24" s="246"/>
      <c r="ISQ24" s="246"/>
      <c r="ISR24" s="246"/>
      <c r="ISS24" s="246"/>
      <c r="IST24" s="246"/>
      <c r="ISU24" s="246"/>
      <c r="ISV24" s="246"/>
      <c r="ISW24" s="246"/>
      <c r="ISX24" s="246"/>
      <c r="ISY24" s="246"/>
      <c r="ISZ24" s="246"/>
      <c r="ITA24" s="246"/>
      <c r="ITB24" s="246"/>
      <c r="ITC24" s="246"/>
      <c r="ITD24" s="246"/>
      <c r="ITE24" s="246"/>
      <c r="ITF24" s="246"/>
      <c r="ITG24" s="246"/>
      <c r="ITH24" s="246"/>
      <c r="ITI24" s="246"/>
      <c r="ITJ24" s="246"/>
      <c r="ITK24" s="246"/>
      <c r="ITL24" s="246"/>
      <c r="ITM24" s="246"/>
      <c r="ITN24" s="246"/>
      <c r="ITO24" s="246"/>
      <c r="ITP24" s="246"/>
      <c r="ITQ24" s="246"/>
      <c r="ITR24" s="246"/>
      <c r="ITS24" s="246"/>
      <c r="ITT24" s="246"/>
      <c r="ITU24" s="246"/>
      <c r="ITV24" s="246"/>
      <c r="ITW24" s="246"/>
      <c r="ITX24" s="246"/>
      <c r="ITY24" s="246"/>
      <c r="ITZ24" s="246"/>
      <c r="IUA24" s="246"/>
      <c r="IUB24" s="246"/>
      <c r="IUC24" s="246"/>
      <c r="IUD24" s="246"/>
      <c r="IUE24" s="246"/>
      <c r="IUF24" s="246"/>
      <c r="IUG24" s="246"/>
      <c r="IUH24" s="246"/>
      <c r="IUI24" s="246"/>
      <c r="IUJ24" s="246"/>
      <c r="IUK24" s="246"/>
      <c r="IUL24" s="246"/>
      <c r="IUM24" s="246"/>
      <c r="IUN24" s="246"/>
      <c r="IUO24" s="246"/>
      <c r="IUP24" s="246"/>
      <c r="IUQ24" s="246"/>
      <c r="IUR24" s="246"/>
      <c r="IUS24" s="246"/>
      <c r="IUT24" s="246"/>
      <c r="IUU24" s="246"/>
      <c r="IUV24" s="246"/>
      <c r="IUW24" s="246"/>
      <c r="IUX24" s="246"/>
      <c r="IUY24" s="246"/>
      <c r="IUZ24" s="246"/>
      <c r="IVA24" s="246"/>
      <c r="IVB24" s="246"/>
      <c r="IVC24" s="246"/>
      <c r="IVD24" s="246"/>
      <c r="IVE24" s="246"/>
      <c r="IVF24" s="246"/>
      <c r="IVG24" s="246"/>
      <c r="IVH24" s="246"/>
      <c r="IVI24" s="246"/>
      <c r="IVJ24" s="246"/>
      <c r="IVK24" s="246"/>
      <c r="IVL24" s="246"/>
      <c r="IVM24" s="246"/>
      <c r="IVN24" s="246"/>
      <c r="IVO24" s="246"/>
      <c r="IVP24" s="246"/>
      <c r="IVQ24" s="246"/>
      <c r="IVR24" s="246"/>
      <c r="IVS24" s="246"/>
      <c r="IVT24" s="246"/>
      <c r="IVU24" s="246"/>
      <c r="IVV24" s="246"/>
      <c r="IVW24" s="246"/>
      <c r="IVX24" s="246"/>
      <c r="IVY24" s="246"/>
      <c r="IVZ24" s="246"/>
      <c r="IWA24" s="246"/>
      <c r="IWB24" s="246"/>
      <c r="IWC24" s="246"/>
      <c r="IWD24" s="246"/>
      <c r="IWE24" s="246"/>
      <c r="IWF24" s="246"/>
      <c r="IWG24" s="246"/>
      <c r="IWH24" s="246"/>
      <c r="IWI24" s="246"/>
      <c r="IWJ24" s="246"/>
      <c r="IWK24" s="246"/>
      <c r="IWL24" s="246"/>
      <c r="IWM24" s="246"/>
      <c r="IWN24" s="246"/>
      <c r="IWO24" s="246"/>
      <c r="IWP24" s="246"/>
      <c r="IWQ24" s="246"/>
      <c r="IWR24" s="246"/>
      <c r="IWS24" s="246"/>
      <c r="IWT24" s="246"/>
      <c r="IWU24" s="246"/>
      <c r="IWV24" s="246"/>
      <c r="IWW24" s="246"/>
      <c r="IWX24" s="246"/>
      <c r="IWY24" s="246"/>
      <c r="IWZ24" s="246"/>
      <c r="IXA24" s="246"/>
      <c r="IXB24" s="246"/>
      <c r="IXC24" s="246"/>
      <c r="IXD24" s="246"/>
      <c r="IXE24" s="246"/>
      <c r="IXF24" s="246"/>
      <c r="IXG24" s="246"/>
      <c r="IXH24" s="246"/>
      <c r="IXI24" s="246"/>
      <c r="IXJ24" s="246"/>
      <c r="IXK24" s="246"/>
      <c r="IXL24" s="246"/>
      <c r="IXM24" s="246"/>
      <c r="IXN24" s="246"/>
      <c r="IXO24" s="246"/>
      <c r="IXP24" s="246"/>
      <c r="IXQ24" s="246"/>
      <c r="IXR24" s="246"/>
      <c r="IXS24" s="246"/>
      <c r="IXT24" s="246"/>
      <c r="IXU24" s="246"/>
      <c r="IXV24" s="246"/>
      <c r="IXW24" s="246"/>
      <c r="IXX24" s="246"/>
      <c r="IXY24" s="246"/>
      <c r="IXZ24" s="246"/>
      <c r="IYA24" s="246"/>
      <c r="IYB24" s="246"/>
      <c r="IYC24" s="246"/>
      <c r="IYD24" s="246"/>
      <c r="IYE24" s="246"/>
      <c r="IYF24" s="246"/>
      <c r="IYG24" s="246"/>
      <c r="IYH24" s="246"/>
      <c r="IYI24" s="246"/>
      <c r="IYJ24" s="246"/>
      <c r="IYK24" s="246"/>
      <c r="IYL24" s="246"/>
      <c r="IYM24" s="246"/>
      <c r="IYN24" s="246"/>
      <c r="IYO24" s="246"/>
      <c r="IYP24" s="246"/>
      <c r="IYQ24" s="246"/>
      <c r="IYR24" s="246"/>
      <c r="IYS24" s="246"/>
      <c r="IYT24" s="246"/>
      <c r="IYU24" s="246"/>
      <c r="IYV24" s="246"/>
      <c r="IYW24" s="246"/>
      <c r="IYX24" s="246"/>
      <c r="IYY24" s="246"/>
      <c r="IYZ24" s="246"/>
      <c r="IZA24" s="246"/>
      <c r="IZB24" s="246"/>
      <c r="IZC24" s="246"/>
      <c r="IZD24" s="246"/>
      <c r="IZE24" s="246"/>
      <c r="IZF24" s="246"/>
      <c r="IZG24" s="246"/>
      <c r="IZH24" s="246"/>
      <c r="IZI24" s="246"/>
      <c r="IZJ24" s="246"/>
      <c r="IZK24" s="246"/>
      <c r="IZL24" s="246"/>
      <c r="IZM24" s="246"/>
      <c r="IZN24" s="246"/>
      <c r="IZO24" s="246"/>
      <c r="IZP24" s="246"/>
      <c r="IZQ24" s="246"/>
      <c r="IZR24" s="246"/>
      <c r="IZS24" s="246"/>
      <c r="IZT24" s="246"/>
      <c r="IZU24" s="246"/>
      <c r="IZV24" s="246"/>
      <c r="IZW24" s="246"/>
      <c r="IZX24" s="246"/>
      <c r="IZY24" s="246"/>
      <c r="IZZ24" s="246"/>
      <c r="JAA24" s="246"/>
      <c r="JAB24" s="246"/>
      <c r="JAC24" s="246"/>
      <c r="JAD24" s="246"/>
      <c r="JAE24" s="246"/>
      <c r="JAF24" s="246"/>
      <c r="JAG24" s="246"/>
      <c r="JAH24" s="246"/>
      <c r="JAI24" s="246"/>
      <c r="JAJ24" s="246"/>
      <c r="JAK24" s="246"/>
      <c r="JAL24" s="246"/>
      <c r="JAM24" s="246"/>
      <c r="JAN24" s="246"/>
      <c r="JAO24" s="246"/>
      <c r="JAP24" s="246"/>
      <c r="JAQ24" s="246"/>
      <c r="JAR24" s="246"/>
      <c r="JAS24" s="246"/>
      <c r="JAT24" s="246"/>
      <c r="JAU24" s="246"/>
      <c r="JAV24" s="246"/>
      <c r="JAW24" s="246"/>
      <c r="JAX24" s="246"/>
      <c r="JAY24" s="246"/>
      <c r="JAZ24" s="246"/>
      <c r="JBA24" s="246"/>
      <c r="JBB24" s="246"/>
      <c r="JBC24" s="246"/>
      <c r="JBD24" s="246"/>
      <c r="JBE24" s="246"/>
      <c r="JBF24" s="246"/>
      <c r="JBG24" s="246"/>
      <c r="JBH24" s="246"/>
      <c r="JBI24" s="246"/>
      <c r="JBJ24" s="246"/>
      <c r="JBK24" s="246"/>
      <c r="JBL24" s="246"/>
      <c r="JBM24" s="246"/>
      <c r="JBN24" s="246"/>
      <c r="JBO24" s="246"/>
      <c r="JBP24" s="246"/>
      <c r="JBQ24" s="246"/>
      <c r="JBR24" s="246"/>
      <c r="JBS24" s="246"/>
      <c r="JBT24" s="246"/>
      <c r="JBU24" s="246"/>
      <c r="JBV24" s="246"/>
      <c r="JBW24" s="246"/>
      <c r="JBX24" s="246"/>
      <c r="JBY24" s="246"/>
      <c r="JBZ24" s="246"/>
      <c r="JCA24" s="246"/>
      <c r="JCB24" s="246"/>
      <c r="JCC24" s="246"/>
      <c r="JCD24" s="246"/>
      <c r="JCE24" s="246"/>
      <c r="JCF24" s="246"/>
      <c r="JCG24" s="246"/>
      <c r="JCH24" s="246"/>
      <c r="JCI24" s="246"/>
      <c r="JCJ24" s="246"/>
      <c r="JCK24" s="246"/>
      <c r="JCL24" s="246"/>
      <c r="JCM24" s="246"/>
      <c r="JCN24" s="246"/>
      <c r="JCO24" s="246"/>
      <c r="JCP24" s="246"/>
      <c r="JCQ24" s="246"/>
      <c r="JCR24" s="246"/>
      <c r="JCS24" s="246"/>
      <c r="JCT24" s="246"/>
      <c r="JCU24" s="246"/>
      <c r="JCV24" s="246"/>
      <c r="JCW24" s="246"/>
      <c r="JCX24" s="246"/>
      <c r="JCY24" s="246"/>
      <c r="JCZ24" s="246"/>
      <c r="JDA24" s="246"/>
      <c r="JDB24" s="246"/>
      <c r="JDC24" s="246"/>
      <c r="JDD24" s="246"/>
      <c r="JDE24" s="246"/>
      <c r="JDF24" s="246"/>
      <c r="JDG24" s="246"/>
      <c r="JDH24" s="246"/>
      <c r="JDI24" s="246"/>
      <c r="JDJ24" s="246"/>
      <c r="JDK24" s="246"/>
      <c r="JDL24" s="246"/>
      <c r="JDM24" s="246"/>
      <c r="JDN24" s="246"/>
      <c r="JDO24" s="246"/>
      <c r="JDP24" s="246"/>
      <c r="JDQ24" s="246"/>
      <c r="JDR24" s="246"/>
      <c r="JDS24" s="246"/>
      <c r="JDT24" s="246"/>
      <c r="JDU24" s="246"/>
      <c r="JDV24" s="246"/>
      <c r="JDW24" s="246"/>
      <c r="JDX24" s="246"/>
      <c r="JDY24" s="246"/>
      <c r="JDZ24" s="246"/>
      <c r="JEA24" s="246"/>
      <c r="JEB24" s="246"/>
      <c r="JEC24" s="246"/>
      <c r="JED24" s="246"/>
      <c r="JEE24" s="246"/>
      <c r="JEF24" s="246"/>
      <c r="JEG24" s="246"/>
      <c r="JEH24" s="246"/>
      <c r="JEI24" s="246"/>
      <c r="JEJ24" s="246"/>
      <c r="JEK24" s="246"/>
      <c r="JEL24" s="246"/>
      <c r="JEM24" s="246"/>
      <c r="JEN24" s="246"/>
      <c r="JEO24" s="246"/>
      <c r="JEP24" s="246"/>
      <c r="JEQ24" s="246"/>
      <c r="JER24" s="246"/>
      <c r="JES24" s="246"/>
      <c r="JET24" s="246"/>
      <c r="JEU24" s="246"/>
      <c r="JEV24" s="246"/>
      <c r="JEW24" s="246"/>
      <c r="JEX24" s="246"/>
      <c r="JEY24" s="246"/>
      <c r="JEZ24" s="246"/>
      <c r="JFA24" s="246"/>
      <c r="JFB24" s="246"/>
      <c r="JFC24" s="246"/>
      <c r="JFD24" s="246"/>
      <c r="JFE24" s="246"/>
      <c r="JFF24" s="246"/>
      <c r="JFG24" s="246"/>
      <c r="JFH24" s="246"/>
      <c r="JFI24" s="246"/>
      <c r="JFJ24" s="246"/>
      <c r="JFK24" s="246"/>
      <c r="JFL24" s="246"/>
      <c r="JFM24" s="246"/>
      <c r="JFN24" s="246"/>
      <c r="JFO24" s="246"/>
      <c r="JFP24" s="246"/>
      <c r="JFQ24" s="246"/>
      <c r="JFR24" s="246"/>
      <c r="JFS24" s="246"/>
      <c r="JFT24" s="246"/>
      <c r="JFU24" s="246"/>
      <c r="JFV24" s="246"/>
      <c r="JFW24" s="246"/>
      <c r="JFX24" s="246"/>
      <c r="JFY24" s="246"/>
      <c r="JFZ24" s="246"/>
      <c r="JGA24" s="246"/>
      <c r="JGB24" s="246"/>
      <c r="JGC24" s="246"/>
      <c r="JGD24" s="246"/>
      <c r="JGE24" s="246"/>
      <c r="JGF24" s="246"/>
      <c r="JGG24" s="246"/>
      <c r="JGH24" s="246"/>
      <c r="JGI24" s="246"/>
      <c r="JGJ24" s="246"/>
      <c r="JGK24" s="246"/>
      <c r="JGL24" s="246"/>
      <c r="JGM24" s="246"/>
      <c r="JGN24" s="246"/>
      <c r="JGO24" s="246"/>
      <c r="JGP24" s="246"/>
      <c r="JGQ24" s="246"/>
      <c r="JGR24" s="246"/>
      <c r="JGS24" s="246"/>
      <c r="JGT24" s="246"/>
      <c r="JGU24" s="246"/>
      <c r="JGV24" s="246"/>
      <c r="JGW24" s="246"/>
      <c r="JGX24" s="246"/>
      <c r="JGY24" s="246"/>
      <c r="JGZ24" s="246"/>
      <c r="JHA24" s="246"/>
      <c r="JHB24" s="246"/>
      <c r="JHC24" s="246"/>
      <c r="JHD24" s="246"/>
      <c r="JHE24" s="246"/>
      <c r="JHF24" s="246"/>
      <c r="JHG24" s="246"/>
      <c r="JHH24" s="246"/>
      <c r="JHI24" s="246"/>
      <c r="JHJ24" s="246"/>
      <c r="JHK24" s="246"/>
      <c r="JHL24" s="246"/>
      <c r="JHM24" s="246"/>
      <c r="JHN24" s="246"/>
      <c r="JHO24" s="246"/>
      <c r="JHP24" s="246"/>
      <c r="JHQ24" s="246"/>
      <c r="JHR24" s="246"/>
      <c r="JHS24" s="246"/>
      <c r="JHT24" s="246"/>
      <c r="JHU24" s="246"/>
      <c r="JHV24" s="246"/>
      <c r="JHW24" s="246"/>
      <c r="JHX24" s="246"/>
      <c r="JHY24" s="246"/>
      <c r="JHZ24" s="246"/>
      <c r="JIA24" s="246"/>
      <c r="JIB24" s="246"/>
      <c r="JIC24" s="246"/>
      <c r="JID24" s="246"/>
      <c r="JIE24" s="246"/>
      <c r="JIF24" s="246"/>
      <c r="JIG24" s="246"/>
      <c r="JIH24" s="246"/>
      <c r="JII24" s="246"/>
      <c r="JIJ24" s="246"/>
      <c r="JIK24" s="246"/>
      <c r="JIL24" s="246"/>
      <c r="JIM24" s="246"/>
      <c r="JIN24" s="246"/>
      <c r="JIO24" s="246"/>
      <c r="JIP24" s="246"/>
      <c r="JIQ24" s="246"/>
      <c r="JIR24" s="246"/>
      <c r="JIS24" s="246"/>
      <c r="JIT24" s="246"/>
      <c r="JIU24" s="246"/>
      <c r="JIV24" s="246"/>
      <c r="JIW24" s="246"/>
      <c r="JIX24" s="246"/>
      <c r="JIY24" s="246"/>
      <c r="JIZ24" s="246"/>
      <c r="JJA24" s="246"/>
      <c r="JJB24" s="246"/>
      <c r="JJC24" s="246"/>
      <c r="JJD24" s="246"/>
      <c r="JJE24" s="246"/>
      <c r="JJF24" s="246"/>
      <c r="JJG24" s="246"/>
      <c r="JJH24" s="246"/>
      <c r="JJI24" s="246"/>
      <c r="JJJ24" s="246"/>
      <c r="JJK24" s="246"/>
      <c r="JJL24" s="246"/>
      <c r="JJM24" s="246"/>
      <c r="JJN24" s="246"/>
      <c r="JJO24" s="246"/>
      <c r="JJP24" s="246"/>
      <c r="JJQ24" s="246"/>
      <c r="JJR24" s="246"/>
      <c r="JJS24" s="246"/>
      <c r="JJT24" s="246"/>
      <c r="JJU24" s="246"/>
      <c r="JJV24" s="246"/>
      <c r="JJW24" s="246"/>
      <c r="JJX24" s="246"/>
      <c r="JJY24" s="246"/>
      <c r="JJZ24" s="246"/>
      <c r="JKA24" s="246"/>
      <c r="JKB24" s="246"/>
      <c r="JKC24" s="246"/>
      <c r="JKD24" s="246"/>
      <c r="JKE24" s="246"/>
      <c r="JKF24" s="246"/>
      <c r="JKG24" s="246"/>
      <c r="JKH24" s="246"/>
      <c r="JKI24" s="246"/>
      <c r="JKJ24" s="246"/>
      <c r="JKK24" s="246"/>
      <c r="JKL24" s="246"/>
      <c r="JKM24" s="246"/>
      <c r="JKN24" s="246"/>
      <c r="JKO24" s="246"/>
      <c r="JKP24" s="246"/>
      <c r="JKQ24" s="246"/>
      <c r="JKR24" s="246"/>
      <c r="JKS24" s="246"/>
      <c r="JKT24" s="246"/>
      <c r="JKU24" s="246"/>
      <c r="JKV24" s="246"/>
      <c r="JKW24" s="246"/>
      <c r="JKX24" s="246"/>
      <c r="JKY24" s="246"/>
      <c r="JKZ24" s="246"/>
      <c r="JLA24" s="246"/>
      <c r="JLB24" s="246"/>
      <c r="JLC24" s="246"/>
      <c r="JLD24" s="246"/>
      <c r="JLE24" s="246"/>
      <c r="JLF24" s="246"/>
      <c r="JLG24" s="246"/>
      <c r="JLH24" s="246"/>
      <c r="JLI24" s="246"/>
      <c r="JLJ24" s="246"/>
      <c r="JLK24" s="246"/>
      <c r="JLL24" s="246"/>
      <c r="JLM24" s="246"/>
      <c r="JLN24" s="246"/>
      <c r="JLO24" s="246"/>
      <c r="JLP24" s="246"/>
      <c r="JLQ24" s="246"/>
      <c r="JLR24" s="246"/>
      <c r="JLS24" s="246"/>
      <c r="JLT24" s="246"/>
      <c r="JLU24" s="246"/>
      <c r="JLV24" s="246"/>
      <c r="JLW24" s="246"/>
      <c r="JLX24" s="246"/>
      <c r="JLY24" s="246"/>
      <c r="JLZ24" s="246"/>
      <c r="JMA24" s="246"/>
      <c r="JMB24" s="246"/>
      <c r="JMC24" s="246"/>
      <c r="JMD24" s="246"/>
      <c r="JME24" s="246"/>
      <c r="JMF24" s="246"/>
      <c r="JMG24" s="246"/>
      <c r="JMH24" s="246"/>
      <c r="JMI24" s="246"/>
      <c r="JMJ24" s="246"/>
      <c r="JMK24" s="246"/>
      <c r="JML24" s="246"/>
      <c r="JMM24" s="246"/>
      <c r="JMN24" s="246"/>
      <c r="JMO24" s="246"/>
      <c r="JMP24" s="246"/>
      <c r="JMQ24" s="246"/>
      <c r="JMR24" s="246"/>
      <c r="JMS24" s="246"/>
      <c r="JMT24" s="246"/>
      <c r="JMU24" s="246"/>
      <c r="JMV24" s="246"/>
      <c r="JMW24" s="246"/>
      <c r="JMX24" s="246"/>
      <c r="JMY24" s="246"/>
      <c r="JMZ24" s="246"/>
      <c r="JNA24" s="246"/>
      <c r="JNB24" s="246"/>
      <c r="JNC24" s="246"/>
      <c r="JND24" s="246"/>
      <c r="JNE24" s="246"/>
      <c r="JNF24" s="246"/>
      <c r="JNG24" s="246"/>
      <c r="JNH24" s="246"/>
      <c r="JNI24" s="246"/>
      <c r="JNJ24" s="246"/>
      <c r="JNK24" s="246"/>
      <c r="JNL24" s="246"/>
      <c r="JNM24" s="246"/>
      <c r="JNN24" s="246"/>
      <c r="JNO24" s="246"/>
      <c r="JNP24" s="246"/>
      <c r="JNQ24" s="246"/>
      <c r="JNR24" s="246"/>
      <c r="JNS24" s="246"/>
      <c r="JNT24" s="246"/>
      <c r="JNU24" s="246"/>
      <c r="JNV24" s="246"/>
      <c r="JNW24" s="246"/>
      <c r="JNX24" s="246"/>
      <c r="JNY24" s="246"/>
      <c r="JNZ24" s="246"/>
      <c r="JOA24" s="246"/>
      <c r="JOB24" s="246"/>
      <c r="JOC24" s="246"/>
      <c r="JOD24" s="246"/>
      <c r="JOE24" s="246"/>
      <c r="JOF24" s="246"/>
      <c r="JOG24" s="246"/>
      <c r="JOH24" s="246"/>
      <c r="JOI24" s="246"/>
      <c r="JOJ24" s="246"/>
      <c r="JOK24" s="246"/>
      <c r="JOL24" s="246"/>
      <c r="JOM24" s="246"/>
      <c r="JON24" s="246"/>
      <c r="JOO24" s="246"/>
      <c r="JOP24" s="246"/>
      <c r="JOQ24" s="246"/>
      <c r="JOR24" s="246"/>
      <c r="JOS24" s="246"/>
      <c r="JOT24" s="246"/>
      <c r="JOU24" s="246"/>
      <c r="JOV24" s="246"/>
      <c r="JOW24" s="246"/>
      <c r="JOX24" s="246"/>
      <c r="JOY24" s="246"/>
      <c r="JOZ24" s="246"/>
      <c r="JPA24" s="246"/>
      <c r="JPB24" s="246"/>
      <c r="JPC24" s="246"/>
      <c r="JPD24" s="246"/>
      <c r="JPE24" s="246"/>
      <c r="JPF24" s="246"/>
      <c r="JPG24" s="246"/>
      <c r="JPH24" s="246"/>
      <c r="JPI24" s="246"/>
      <c r="JPJ24" s="246"/>
      <c r="JPK24" s="246"/>
      <c r="JPL24" s="246"/>
      <c r="JPM24" s="246"/>
      <c r="JPN24" s="246"/>
      <c r="JPO24" s="246"/>
      <c r="JPP24" s="246"/>
      <c r="JPQ24" s="246"/>
      <c r="JPR24" s="246"/>
      <c r="JPS24" s="246"/>
      <c r="JPT24" s="246"/>
      <c r="JPU24" s="246"/>
      <c r="JPV24" s="246"/>
      <c r="JPW24" s="246"/>
      <c r="JPX24" s="246"/>
      <c r="JPY24" s="246"/>
      <c r="JPZ24" s="246"/>
      <c r="JQA24" s="246"/>
      <c r="JQB24" s="246"/>
      <c r="JQC24" s="246"/>
      <c r="JQD24" s="246"/>
      <c r="JQE24" s="246"/>
      <c r="JQF24" s="246"/>
      <c r="JQG24" s="246"/>
      <c r="JQH24" s="246"/>
      <c r="JQI24" s="246"/>
      <c r="JQJ24" s="246"/>
      <c r="JQK24" s="246"/>
      <c r="JQL24" s="246"/>
      <c r="JQM24" s="246"/>
      <c r="JQN24" s="246"/>
      <c r="JQO24" s="246"/>
      <c r="JQP24" s="246"/>
      <c r="JQQ24" s="246"/>
      <c r="JQR24" s="246"/>
      <c r="JQS24" s="246"/>
      <c r="JQT24" s="246"/>
      <c r="JQU24" s="246"/>
      <c r="JQV24" s="246"/>
      <c r="JQW24" s="246"/>
      <c r="JQX24" s="246"/>
      <c r="JQY24" s="246"/>
      <c r="JQZ24" s="246"/>
      <c r="JRA24" s="246"/>
      <c r="JRB24" s="246"/>
      <c r="JRC24" s="246"/>
      <c r="JRD24" s="246"/>
      <c r="JRE24" s="246"/>
      <c r="JRF24" s="246"/>
      <c r="JRG24" s="246"/>
      <c r="JRH24" s="246"/>
      <c r="JRI24" s="246"/>
      <c r="JRJ24" s="246"/>
      <c r="JRK24" s="246"/>
      <c r="JRL24" s="246"/>
      <c r="JRM24" s="246"/>
      <c r="JRN24" s="246"/>
      <c r="JRO24" s="246"/>
      <c r="JRP24" s="246"/>
      <c r="JRQ24" s="246"/>
      <c r="JRR24" s="246"/>
      <c r="JRS24" s="246"/>
      <c r="JRT24" s="246"/>
      <c r="JRU24" s="246"/>
      <c r="JRV24" s="246"/>
      <c r="JRW24" s="246"/>
      <c r="JRX24" s="246"/>
      <c r="JRY24" s="246"/>
      <c r="JRZ24" s="246"/>
      <c r="JSA24" s="246"/>
      <c r="JSB24" s="246"/>
      <c r="JSC24" s="246"/>
      <c r="JSD24" s="246"/>
      <c r="JSE24" s="246"/>
      <c r="JSF24" s="246"/>
      <c r="JSG24" s="246"/>
      <c r="JSH24" s="246"/>
      <c r="JSI24" s="246"/>
      <c r="JSJ24" s="246"/>
      <c r="JSK24" s="246"/>
      <c r="JSL24" s="246"/>
      <c r="JSM24" s="246"/>
      <c r="JSN24" s="246"/>
      <c r="JSO24" s="246"/>
      <c r="JSP24" s="246"/>
      <c r="JSQ24" s="246"/>
      <c r="JSR24" s="246"/>
      <c r="JSS24" s="246"/>
      <c r="JST24" s="246"/>
      <c r="JSU24" s="246"/>
      <c r="JSV24" s="246"/>
      <c r="JSW24" s="246"/>
      <c r="JSX24" s="246"/>
      <c r="JSY24" s="246"/>
      <c r="JSZ24" s="246"/>
      <c r="JTA24" s="246"/>
      <c r="JTB24" s="246"/>
      <c r="JTC24" s="246"/>
      <c r="JTD24" s="246"/>
      <c r="JTE24" s="246"/>
      <c r="JTF24" s="246"/>
      <c r="JTG24" s="246"/>
      <c r="JTH24" s="246"/>
      <c r="JTI24" s="246"/>
      <c r="JTJ24" s="246"/>
      <c r="JTK24" s="246"/>
      <c r="JTL24" s="246"/>
      <c r="JTM24" s="246"/>
      <c r="JTN24" s="246"/>
      <c r="JTO24" s="246"/>
      <c r="JTP24" s="246"/>
      <c r="JTQ24" s="246"/>
      <c r="JTR24" s="246"/>
      <c r="JTS24" s="246"/>
      <c r="JTT24" s="246"/>
      <c r="JTU24" s="246"/>
      <c r="JTV24" s="246"/>
      <c r="JTW24" s="246"/>
      <c r="JTX24" s="246"/>
      <c r="JTY24" s="246"/>
      <c r="JTZ24" s="246"/>
      <c r="JUA24" s="246"/>
      <c r="JUB24" s="246"/>
      <c r="JUC24" s="246"/>
      <c r="JUD24" s="246"/>
      <c r="JUE24" s="246"/>
      <c r="JUF24" s="246"/>
      <c r="JUG24" s="246"/>
      <c r="JUH24" s="246"/>
      <c r="JUI24" s="246"/>
      <c r="JUJ24" s="246"/>
      <c r="JUK24" s="246"/>
      <c r="JUL24" s="246"/>
      <c r="JUM24" s="246"/>
      <c r="JUN24" s="246"/>
      <c r="JUO24" s="246"/>
      <c r="JUP24" s="246"/>
      <c r="JUQ24" s="246"/>
      <c r="JUR24" s="246"/>
      <c r="JUS24" s="246"/>
      <c r="JUT24" s="246"/>
      <c r="JUU24" s="246"/>
      <c r="JUV24" s="246"/>
      <c r="JUW24" s="246"/>
      <c r="JUX24" s="246"/>
      <c r="JUY24" s="246"/>
      <c r="JUZ24" s="246"/>
      <c r="JVA24" s="246"/>
      <c r="JVB24" s="246"/>
      <c r="JVC24" s="246"/>
      <c r="JVD24" s="246"/>
      <c r="JVE24" s="246"/>
      <c r="JVF24" s="246"/>
      <c r="JVG24" s="246"/>
      <c r="JVH24" s="246"/>
      <c r="JVI24" s="246"/>
      <c r="JVJ24" s="246"/>
      <c r="JVK24" s="246"/>
      <c r="JVL24" s="246"/>
      <c r="JVM24" s="246"/>
      <c r="JVN24" s="246"/>
      <c r="JVO24" s="246"/>
      <c r="JVP24" s="246"/>
      <c r="JVQ24" s="246"/>
      <c r="JVR24" s="246"/>
      <c r="JVS24" s="246"/>
      <c r="JVT24" s="246"/>
      <c r="JVU24" s="246"/>
      <c r="JVV24" s="246"/>
      <c r="JVW24" s="246"/>
      <c r="JVX24" s="246"/>
      <c r="JVY24" s="246"/>
      <c r="JVZ24" s="246"/>
      <c r="JWA24" s="246"/>
      <c r="JWB24" s="246"/>
      <c r="JWC24" s="246"/>
      <c r="JWD24" s="246"/>
      <c r="JWE24" s="246"/>
      <c r="JWF24" s="246"/>
      <c r="JWG24" s="246"/>
      <c r="JWH24" s="246"/>
      <c r="JWI24" s="246"/>
      <c r="JWJ24" s="246"/>
      <c r="JWK24" s="246"/>
      <c r="JWL24" s="246"/>
      <c r="JWM24" s="246"/>
      <c r="JWN24" s="246"/>
      <c r="JWO24" s="246"/>
      <c r="JWP24" s="246"/>
      <c r="JWQ24" s="246"/>
      <c r="JWR24" s="246"/>
      <c r="JWS24" s="246"/>
      <c r="JWT24" s="246"/>
      <c r="JWU24" s="246"/>
      <c r="JWV24" s="246"/>
      <c r="JWW24" s="246"/>
      <c r="JWX24" s="246"/>
      <c r="JWY24" s="246"/>
      <c r="JWZ24" s="246"/>
      <c r="JXA24" s="246"/>
      <c r="JXB24" s="246"/>
      <c r="JXC24" s="246"/>
      <c r="JXD24" s="246"/>
      <c r="JXE24" s="246"/>
      <c r="JXF24" s="246"/>
      <c r="JXG24" s="246"/>
      <c r="JXH24" s="246"/>
      <c r="JXI24" s="246"/>
      <c r="JXJ24" s="246"/>
      <c r="JXK24" s="246"/>
      <c r="JXL24" s="246"/>
      <c r="JXM24" s="246"/>
      <c r="JXN24" s="246"/>
      <c r="JXO24" s="246"/>
      <c r="JXP24" s="246"/>
      <c r="JXQ24" s="246"/>
      <c r="JXR24" s="246"/>
      <c r="JXS24" s="246"/>
      <c r="JXT24" s="246"/>
      <c r="JXU24" s="246"/>
      <c r="JXV24" s="246"/>
      <c r="JXW24" s="246"/>
      <c r="JXX24" s="246"/>
      <c r="JXY24" s="246"/>
      <c r="JXZ24" s="246"/>
      <c r="JYA24" s="246"/>
      <c r="JYB24" s="246"/>
      <c r="JYC24" s="246"/>
      <c r="JYD24" s="246"/>
      <c r="JYE24" s="246"/>
      <c r="JYF24" s="246"/>
      <c r="JYG24" s="246"/>
      <c r="JYH24" s="246"/>
      <c r="JYI24" s="246"/>
      <c r="JYJ24" s="246"/>
      <c r="JYK24" s="246"/>
      <c r="JYL24" s="246"/>
      <c r="JYM24" s="246"/>
      <c r="JYN24" s="246"/>
      <c r="JYO24" s="246"/>
      <c r="JYP24" s="246"/>
      <c r="JYQ24" s="246"/>
      <c r="JYR24" s="246"/>
      <c r="JYS24" s="246"/>
      <c r="JYT24" s="246"/>
      <c r="JYU24" s="246"/>
      <c r="JYV24" s="246"/>
      <c r="JYW24" s="246"/>
      <c r="JYX24" s="246"/>
      <c r="JYY24" s="246"/>
      <c r="JYZ24" s="246"/>
      <c r="JZA24" s="246"/>
      <c r="JZB24" s="246"/>
      <c r="JZC24" s="246"/>
      <c r="JZD24" s="246"/>
      <c r="JZE24" s="246"/>
      <c r="JZF24" s="246"/>
      <c r="JZG24" s="246"/>
      <c r="JZH24" s="246"/>
      <c r="JZI24" s="246"/>
      <c r="JZJ24" s="246"/>
      <c r="JZK24" s="246"/>
      <c r="JZL24" s="246"/>
      <c r="JZM24" s="246"/>
      <c r="JZN24" s="246"/>
      <c r="JZO24" s="246"/>
      <c r="JZP24" s="246"/>
      <c r="JZQ24" s="246"/>
      <c r="JZR24" s="246"/>
      <c r="JZS24" s="246"/>
      <c r="JZT24" s="246"/>
      <c r="JZU24" s="246"/>
      <c r="JZV24" s="246"/>
      <c r="JZW24" s="246"/>
      <c r="JZX24" s="246"/>
      <c r="JZY24" s="246"/>
      <c r="JZZ24" s="246"/>
      <c r="KAA24" s="246"/>
      <c r="KAB24" s="246"/>
      <c r="KAC24" s="246"/>
      <c r="KAD24" s="246"/>
      <c r="KAE24" s="246"/>
      <c r="KAF24" s="246"/>
      <c r="KAG24" s="246"/>
      <c r="KAH24" s="246"/>
      <c r="KAI24" s="246"/>
      <c r="KAJ24" s="246"/>
      <c r="KAK24" s="246"/>
      <c r="KAL24" s="246"/>
      <c r="KAM24" s="246"/>
      <c r="KAN24" s="246"/>
      <c r="KAO24" s="246"/>
      <c r="KAP24" s="246"/>
      <c r="KAQ24" s="246"/>
      <c r="KAR24" s="246"/>
      <c r="KAS24" s="246"/>
      <c r="KAT24" s="246"/>
      <c r="KAU24" s="246"/>
      <c r="KAV24" s="246"/>
      <c r="KAW24" s="246"/>
      <c r="KAX24" s="246"/>
      <c r="KAY24" s="246"/>
      <c r="KAZ24" s="246"/>
      <c r="KBA24" s="246"/>
      <c r="KBB24" s="246"/>
      <c r="KBC24" s="246"/>
      <c r="KBD24" s="246"/>
      <c r="KBE24" s="246"/>
      <c r="KBF24" s="246"/>
      <c r="KBG24" s="246"/>
      <c r="KBH24" s="246"/>
      <c r="KBI24" s="246"/>
      <c r="KBJ24" s="246"/>
      <c r="KBK24" s="246"/>
      <c r="KBL24" s="246"/>
      <c r="KBM24" s="246"/>
      <c r="KBN24" s="246"/>
      <c r="KBO24" s="246"/>
      <c r="KBP24" s="246"/>
      <c r="KBQ24" s="246"/>
      <c r="KBR24" s="246"/>
      <c r="KBS24" s="246"/>
      <c r="KBT24" s="246"/>
      <c r="KBU24" s="246"/>
      <c r="KBV24" s="246"/>
      <c r="KBW24" s="246"/>
      <c r="KBX24" s="246"/>
      <c r="KBY24" s="246"/>
      <c r="KBZ24" s="246"/>
      <c r="KCA24" s="246"/>
      <c r="KCB24" s="246"/>
      <c r="KCC24" s="246"/>
      <c r="KCD24" s="246"/>
      <c r="KCE24" s="246"/>
      <c r="KCF24" s="246"/>
      <c r="KCG24" s="246"/>
      <c r="KCH24" s="246"/>
      <c r="KCI24" s="246"/>
      <c r="KCJ24" s="246"/>
      <c r="KCK24" s="246"/>
      <c r="KCL24" s="246"/>
      <c r="KCM24" s="246"/>
      <c r="KCN24" s="246"/>
      <c r="KCO24" s="246"/>
      <c r="KCP24" s="246"/>
      <c r="KCQ24" s="246"/>
      <c r="KCR24" s="246"/>
      <c r="KCS24" s="246"/>
      <c r="KCT24" s="246"/>
      <c r="KCU24" s="246"/>
      <c r="KCV24" s="246"/>
      <c r="KCW24" s="246"/>
      <c r="KCX24" s="246"/>
      <c r="KCY24" s="246"/>
      <c r="KCZ24" s="246"/>
      <c r="KDA24" s="246"/>
      <c r="KDB24" s="246"/>
      <c r="KDC24" s="246"/>
      <c r="KDD24" s="246"/>
      <c r="KDE24" s="246"/>
      <c r="KDF24" s="246"/>
      <c r="KDG24" s="246"/>
      <c r="KDH24" s="246"/>
      <c r="KDI24" s="246"/>
      <c r="KDJ24" s="246"/>
      <c r="KDK24" s="246"/>
      <c r="KDL24" s="246"/>
      <c r="KDM24" s="246"/>
      <c r="KDN24" s="246"/>
      <c r="KDO24" s="246"/>
      <c r="KDP24" s="246"/>
      <c r="KDQ24" s="246"/>
      <c r="KDR24" s="246"/>
      <c r="KDS24" s="246"/>
      <c r="KDT24" s="246"/>
      <c r="KDU24" s="246"/>
      <c r="KDV24" s="246"/>
      <c r="KDW24" s="246"/>
      <c r="KDX24" s="246"/>
      <c r="KDY24" s="246"/>
      <c r="KDZ24" s="246"/>
      <c r="KEA24" s="246"/>
      <c r="KEB24" s="246"/>
      <c r="KEC24" s="246"/>
      <c r="KED24" s="246"/>
      <c r="KEE24" s="246"/>
      <c r="KEF24" s="246"/>
      <c r="KEG24" s="246"/>
      <c r="KEH24" s="246"/>
      <c r="KEI24" s="246"/>
      <c r="KEJ24" s="246"/>
      <c r="KEK24" s="246"/>
      <c r="KEL24" s="246"/>
      <c r="KEM24" s="246"/>
      <c r="KEN24" s="246"/>
      <c r="KEO24" s="246"/>
      <c r="KEP24" s="246"/>
      <c r="KEQ24" s="246"/>
      <c r="KER24" s="246"/>
      <c r="KES24" s="246"/>
      <c r="KET24" s="246"/>
      <c r="KEU24" s="246"/>
      <c r="KEV24" s="246"/>
      <c r="KEW24" s="246"/>
      <c r="KEX24" s="246"/>
      <c r="KEY24" s="246"/>
      <c r="KEZ24" s="246"/>
      <c r="KFA24" s="246"/>
      <c r="KFB24" s="246"/>
      <c r="KFC24" s="246"/>
      <c r="KFD24" s="246"/>
      <c r="KFE24" s="246"/>
      <c r="KFF24" s="246"/>
      <c r="KFG24" s="246"/>
      <c r="KFH24" s="246"/>
      <c r="KFI24" s="246"/>
      <c r="KFJ24" s="246"/>
      <c r="KFK24" s="246"/>
      <c r="KFL24" s="246"/>
      <c r="KFM24" s="246"/>
      <c r="KFN24" s="246"/>
      <c r="KFO24" s="246"/>
      <c r="KFP24" s="246"/>
      <c r="KFQ24" s="246"/>
      <c r="KFR24" s="246"/>
      <c r="KFS24" s="246"/>
      <c r="KFT24" s="246"/>
      <c r="KFU24" s="246"/>
      <c r="KFV24" s="246"/>
      <c r="KFW24" s="246"/>
      <c r="KFX24" s="246"/>
      <c r="KFY24" s="246"/>
      <c r="KFZ24" s="246"/>
      <c r="KGA24" s="246"/>
      <c r="KGB24" s="246"/>
      <c r="KGC24" s="246"/>
      <c r="KGD24" s="246"/>
      <c r="KGE24" s="246"/>
      <c r="KGF24" s="246"/>
      <c r="KGG24" s="246"/>
      <c r="KGH24" s="246"/>
      <c r="KGI24" s="246"/>
      <c r="KGJ24" s="246"/>
      <c r="KGK24" s="246"/>
      <c r="KGL24" s="246"/>
      <c r="KGM24" s="246"/>
      <c r="KGN24" s="246"/>
      <c r="KGO24" s="246"/>
      <c r="KGP24" s="246"/>
      <c r="KGQ24" s="246"/>
      <c r="KGR24" s="246"/>
      <c r="KGS24" s="246"/>
      <c r="KGT24" s="246"/>
      <c r="KGU24" s="246"/>
      <c r="KGV24" s="246"/>
      <c r="KGW24" s="246"/>
      <c r="KGX24" s="246"/>
      <c r="KGY24" s="246"/>
      <c r="KGZ24" s="246"/>
      <c r="KHA24" s="246"/>
      <c r="KHB24" s="246"/>
      <c r="KHC24" s="246"/>
      <c r="KHD24" s="246"/>
      <c r="KHE24" s="246"/>
      <c r="KHF24" s="246"/>
      <c r="KHG24" s="246"/>
      <c r="KHH24" s="246"/>
      <c r="KHI24" s="246"/>
      <c r="KHJ24" s="246"/>
      <c r="KHK24" s="246"/>
      <c r="KHL24" s="246"/>
      <c r="KHM24" s="246"/>
      <c r="KHN24" s="246"/>
      <c r="KHO24" s="246"/>
      <c r="KHP24" s="246"/>
      <c r="KHQ24" s="246"/>
      <c r="KHR24" s="246"/>
      <c r="KHS24" s="246"/>
      <c r="KHT24" s="246"/>
      <c r="KHU24" s="246"/>
      <c r="KHV24" s="246"/>
      <c r="KHW24" s="246"/>
      <c r="KHX24" s="246"/>
      <c r="KHY24" s="246"/>
      <c r="KHZ24" s="246"/>
      <c r="KIA24" s="246"/>
      <c r="KIB24" s="246"/>
      <c r="KIC24" s="246"/>
      <c r="KID24" s="246"/>
      <c r="KIE24" s="246"/>
      <c r="KIF24" s="246"/>
      <c r="KIG24" s="246"/>
      <c r="KIH24" s="246"/>
      <c r="KII24" s="246"/>
      <c r="KIJ24" s="246"/>
      <c r="KIK24" s="246"/>
      <c r="KIL24" s="246"/>
      <c r="KIM24" s="246"/>
      <c r="KIN24" s="246"/>
      <c r="KIO24" s="246"/>
      <c r="KIP24" s="246"/>
      <c r="KIQ24" s="246"/>
      <c r="KIR24" s="246"/>
      <c r="KIS24" s="246"/>
      <c r="KIT24" s="246"/>
      <c r="KIU24" s="246"/>
      <c r="KIV24" s="246"/>
      <c r="KIW24" s="246"/>
      <c r="KIX24" s="246"/>
      <c r="KIY24" s="246"/>
      <c r="KIZ24" s="246"/>
      <c r="KJA24" s="246"/>
      <c r="KJB24" s="246"/>
      <c r="KJC24" s="246"/>
      <c r="KJD24" s="246"/>
      <c r="KJE24" s="246"/>
      <c r="KJF24" s="246"/>
      <c r="KJG24" s="246"/>
      <c r="KJH24" s="246"/>
      <c r="KJI24" s="246"/>
      <c r="KJJ24" s="246"/>
      <c r="KJK24" s="246"/>
      <c r="KJL24" s="246"/>
      <c r="KJM24" s="246"/>
      <c r="KJN24" s="246"/>
      <c r="KJO24" s="246"/>
      <c r="KJP24" s="246"/>
      <c r="KJQ24" s="246"/>
      <c r="KJR24" s="246"/>
      <c r="KJS24" s="246"/>
      <c r="KJT24" s="246"/>
      <c r="KJU24" s="246"/>
      <c r="KJV24" s="246"/>
      <c r="KJW24" s="246"/>
      <c r="KJX24" s="246"/>
      <c r="KJY24" s="246"/>
      <c r="KJZ24" s="246"/>
      <c r="KKA24" s="246"/>
      <c r="KKB24" s="246"/>
      <c r="KKC24" s="246"/>
      <c r="KKD24" s="246"/>
      <c r="KKE24" s="246"/>
      <c r="KKF24" s="246"/>
      <c r="KKG24" s="246"/>
      <c r="KKH24" s="246"/>
      <c r="KKI24" s="246"/>
      <c r="KKJ24" s="246"/>
      <c r="KKK24" s="246"/>
      <c r="KKL24" s="246"/>
      <c r="KKM24" s="246"/>
      <c r="KKN24" s="246"/>
      <c r="KKO24" s="246"/>
      <c r="KKP24" s="246"/>
      <c r="KKQ24" s="246"/>
      <c r="KKR24" s="246"/>
      <c r="KKS24" s="246"/>
      <c r="KKT24" s="246"/>
      <c r="KKU24" s="246"/>
      <c r="KKV24" s="246"/>
      <c r="KKW24" s="246"/>
      <c r="KKX24" s="246"/>
      <c r="KKY24" s="246"/>
      <c r="KKZ24" s="246"/>
      <c r="KLA24" s="246"/>
      <c r="KLB24" s="246"/>
      <c r="KLC24" s="246"/>
      <c r="KLD24" s="246"/>
      <c r="KLE24" s="246"/>
      <c r="KLF24" s="246"/>
      <c r="KLG24" s="246"/>
      <c r="KLH24" s="246"/>
      <c r="KLI24" s="246"/>
      <c r="KLJ24" s="246"/>
      <c r="KLK24" s="246"/>
      <c r="KLL24" s="246"/>
      <c r="KLM24" s="246"/>
      <c r="KLN24" s="246"/>
      <c r="KLO24" s="246"/>
      <c r="KLP24" s="246"/>
      <c r="KLQ24" s="246"/>
      <c r="KLR24" s="246"/>
      <c r="KLS24" s="246"/>
      <c r="KLT24" s="246"/>
      <c r="KLU24" s="246"/>
      <c r="KLV24" s="246"/>
      <c r="KLW24" s="246"/>
      <c r="KLX24" s="246"/>
      <c r="KLY24" s="246"/>
      <c r="KLZ24" s="246"/>
      <c r="KMA24" s="246"/>
      <c r="KMB24" s="246"/>
      <c r="KMC24" s="246"/>
      <c r="KMD24" s="246"/>
      <c r="KME24" s="246"/>
      <c r="KMF24" s="246"/>
      <c r="KMG24" s="246"/>
      <c r="KMH24" s="246"/>
      <c r="KMI24" s="246"/>
      <c r="KMJ24" s="246"/>
      <c r="KMK24" s="246"/>
      <c r="KML24" s="246"/>
      <c r="KMM24" s="246"/>
      <c r="KMN24" s="246"/>
      <c r="KMO24" s="246"/>
      <c r="KMP24" s="246"/>
      <c r="KMQ24" s="246"/>
      <c r="KMR24" s="246"/>
      <c r="KMS24" s="246"/>
      <c r="KMT24" s="246"/>
      <c r="KMU24" s="246"/>
      <c r="KMV24" s="246"/>
      <c r="KMW24" s="246"/>
      <c r="KMX24" s="246"/>
      <c r="KMY24" s="246"/>
      <c r="KMZ24" s="246"/>
      <c r="KNA24" s="246"/>
      <c r="KNB24" s="246"/>
      <c r="KNC24" s="246"/>
      <c r="KND24" s="246"/>
      <c r="KNE24" s="246"/>
      <c r="KNF24" s="246"/>
      <c r="KNG24" s="246"/>
      <c r="KNH24" s="246"/>
      <c r="KNI24" s="246"/>
      <c r="KNJ24" s="246"/>
      <c r="KNK24" s="246"/>
      <c r="KNL24" s="246"/>
      <c r="KNM24" s="246"/>
      <c r="KNN24" s="246"/>
      <c r="KNO24" s="246"/>
      <c r="KNP24" s="246"/>
      <c r="KNQ24" s="246"/>
      <c r="KNR24" s="246"/>
      <c r="KNS24" s="246"/>
      <c r="KNT24" s="246"/>
      <c r="KNU24" s="246"/>
      <c r="KNV24" s="246"/>
      <c r="KNW24" s="246"/>
      <c r="KNX24" s="246"/>
      <c r="KNY24" s="246"/>
      <c r="KNZ24" s="246"/>
      <c r="KOA24" s="246"/>
      <c r="KOB24" s="246"/>
      <c r="KOC24" s="246"/>
      <c r="KOD24" s="246"/>
      <c r="KOE24" s="246"/>
      <c r="KOF24" s="246"/>
      <c r="KOG24" s="246"/>
      <c r="KOH24" s="246"/>
      <c r="KOI24" s="246"/>
      <c r="KOJ24" s="246"/>
      <c r="KOK24" s="246"/>
      <c r="KOL24" s="246"/>
      <c r="KOM24" s="246"/>
      <c r="KON24" s="246"/>
      <c r="KOO24" s="246"/>
      <c r="KOP24" s="246"/>
      <c r="KOQ24" s="246"/>
      <c r="KOR24" s="246"/>
      <c r="KOS24" s="246"/>
      <c r="KOT24" s="246"/>
      <c r="KOU24" s="246"/>
      <c r="KOV24" s="246"/>
      <c r="KOW24" s="246"/>
      <c r="KOX24" s="246"/>
      <c r="KOY24" s="246"/>
      <c r="KOZ24" s="246"/>
      <c r="KPA24" s="246"/>
      <c r="KPB24" s="246"/>
      <c r="KPC24" s="246"/>
      <c r="KPD24" s="246"/>
      <c r="KPE24" s="246"/>
      <c r="KPF24" s="246"/>
      <c r="KPG24" s="246"/>
      <c r="KPH24" s="246"/>
      <c r="KPI24" s="246"/>
      <c r="KPJ24" s="246"/>
      <c r="KPK24" s="246"/>
      <c r="KPL24" s="246"/>
      <c r="KPM24" s="246"/>
      <c r="KPN24" s="246"/>
      <c r="KPO24" s="246"/>
      <c r="KPP24" s="246"/>
      <c r="KPQ24" s="246"/>
      <c r="KPR24" s="246"/>
      <c r="KPS24" s="246"/>
      <c r="KPT24" s="246"/>
      <c r="KPU24" s="246"/>
      <c r="KPV24" s="246"/>
      <c r="KPW24" s="246"/>
      <c r="KPX24" s="246"/>
      <c r="KPY24" s="246"/>
      <c r="KPZ24" s="246"/>
      <c r="KQA24" s="246"/>
      <c r="KQB24" s="246"/>
      <c r="KQC24" s="246"/>
      <c r="KQD24" s="246"/>
      <c r="KQE24" s="246"/>
      <c r="KQF24" s="246"/>
      <c r="KQG24" s="246"/>
      <c r="KQH24" s="246"/>
      <c r="KQI24" s="246"/>
      <c r="KQJ24" s="246"/>
      <c r="KQK24" s="246"/>
      <c r="KQL24" s="246"/>
      <c r="KQM24" s="246"/>
      <c r="KQN24" s="246"/>
      <c r="KQO24" s="246"/>
      <c r="KQP24" s="246"/>
      <c r="KQQ24" s="246"/>
      <c r="KQR24" s="246"/>
      <c r="KQS24" s="246"/>
      <c r="KQT24" s="246"/>
      <c r="KQU24" s="246"/>
      <c r="KQV24" s="246"/>
      <c r="KQW24" s="246"/>
      <c r="KQX24" s="246"/>
      <c r="KQY24" s="246"/>
      <c r="KQZ24" s="246"/>
      <c r="KRA24" s="246"/>
      <c r="KRB24" s="246"/>
      <c r="KRC24" s="246"/>
      <c r="KRD24" s="246"/>
      <c r="KRE24" s="246"/>
      <c r="KRF24" s="246"/>
      <c r="KRG24" s="246"/>
      <c r="KRH24" s="246"/>
      <c r="KRI24" s="246"/>
      <c r="KRJ24" s="246"/>
      <c r="KRK24" s="246"/>
      <c r="KRL24" s="246"/>
      <c r="KRM24" s="246"/>
      <c r="KRN24" s="246"/>
      <c r="KRO24" s="246"/>
      <c r="KRP24" s="246"/>
      <c r="KRQ24" s="246"/>
      <c r="KRR24" s="246"/>
      <c r="KRS24" s="246"/>
      <c r="KRT24" s="246"/>
      <c r="KRU24" s="246"/>
      <c r="KRV24" s="246"/>
      <c r="KRW24" s="246"/>
      <c r="KRX24" s="246"/>
      <c r="KRY24" s="246"/>
      <c r="KRZ24" s="246"/>
      <c r="KSA24" s="246"/>
      <c r="KSB24" s="246"/>
      <c r="KSC24" s="246"/>
      <c r="KSD24" s="246"/>
      <c r="KSE24" s="246"/>
      <c r="KSF24" s="246"/>
      <c r="KSG24" s="246"/>
      <c r="KSH24" s="246"/>
      <c r="KSI24" s="246"/>
      <c r="KSJ24" s="246"/>
      <c r="KSK24" s="246"/>
      <c r="KSL24" s="246"/>
      <c r="KSM24" s="246"/>
      <c r="KSN24" s="246"/>
      <c r="KSO24" s="246"/>
      <c r="KSP24" s="246"/>
      <c r="KSQ24" s="246"/>
      <c r="KSR24" s="246"/>
      <c r="KSS24" s="246"/>
      <c r="KST24" s="246"/>
      <c r="KSU24" s="246"/>
      <c r="KSV24" s="246"/>
      <c r="KSW24" s="246"/>
      <c r="KSX24" s="246"/>
      <c r="KSY24" s="246"/>
      <c r="KSZ24" s="246"/>
      <c r="KTA24" s="246"/>
      <c r="KTB24" s="246"/>
      <c r="KTC24" s="246"/>
      <c r="KTD24" s="246"/>
      <c r="KTE24" s="246"/>
      <c r="KTF24" s="246"/>
      <c r="KTG24" s="246"/>
      <c r="KTH24" s="246"/>
      <c r="KTI24" s="246"/>
      <c r="KTJ24" s="246"/>
      <c r="KTK24" s="246"/>
      <c r="KTL24" s="246"/>
      <c r="KTM24" s="246"/>
      <c r="KTN24" s="246"/>
      <c r="KTO24" s="246"/>
      <c r="KTP24" s="246"/>
      <c r="KTQ24" s="246"/>
      <c r="KTR24" s="246"/>
      <c r="KTS24" s="246"/>
      <c r="KTT24" s="246"/>
      <c r="KTU24" s="246"/>
      <c r="KTV24" s="246"/>
      <c r="KTW24" s="246"/>
      <c r="KTX24" s="246"/>
      <c r="KTY24" s="246"/>
      <c r="KTZ24" s="246"/>
      <c r="KUA24" s="246"/>
      <c r="KUB24" s="246"/>
      <c r="KUC24" s="246"/>
      <c r="KUD24" s="246"/>
      <c r="KUE24" s="246"/>
      <c r="KUF24" s="246"/>
      <c r="KUG24" s="246"/>
      <c r="KUH24" s="246"/>
      <c r="KUI24" s="246"/>
      <c r="KUJ24" s="246"/>
      <c r="KUK24" s="246"/>
      <c r="KUL24" s="246"/>
      <c r="KUM24" s="246"/>
      <c r="KUN24" s="246"/>
      <c r="KUO24" s="246"/>
      <c r="KUP24" s="246"/>
      <c r="KUQ24" s="246"/>
      <c r="KUR24" s="246"/>
      <c r="KUS24" s="246"/>
      <c r="KUT24" s="246"/>
      <c r="KUU24" s="246"/>
      <c r="KUV24" s="246"/>
      <c r="KUW24" s="246"/>
      <c r="KUX24" s="246"/>
      <c r="KUY24" s="246"/>
      <c r="KUZ24" s="246"/>
      <c r="KVA24" s="246"/>
      <c r="KVB24" s="246"/>
      <c r="KVC24" s="246"/>
      <c r="KVD24" s="246"/>
      <c r="KVE24" s="246"/>
      <c r="KVF24" s="246"/>
      <c r="KVG24" s="246"/>
      <c r="KVH24" s="246"/>
      <c r="KVI24" s="246"/>
      <c r="KVJ24" s="246"/>
      <c r="KVK24" s="246"/>
      <c r="KVL24" s="246"/>
      <c r="KVM24" s="246"/>
      <c r="KVN24" s="246"/>
      <c r="KVO24" s="246"/>
      <c r="KVP24" s="246"/>
      <c r="KVQ24" s="246"/>
      <c r="KVR24" s="246"/>
      <c r="KVS24" s="246"/>
      <c r="KVT24" s="246"/>
      <c r="KVU24" s="246"/>
      <c r="KVV24" s="246"/>
      <c r="KVW24" s="246"/>
      <c r="KVX24" s="246"/>
      <c r="KVY24" s="246"/>
      <c r="KVZ24" s="246"/>
      <c r="KWA24" s="246"/>
      <c r="KWB24" s="246"/>
      <c r="KWC24" s="246"/>
      <c r="KWD24" s="246"/>
      <c r="KWE24" s="246"/>
      <c r="KWF24" s="246"/>
      <c r="KWG24" s="246"/>
      <c r="KWH24" s="246"/>
      <c r="KWI24" s="246"/>
      <c r="KWJ24" s="246"/>
      <c r="KWK24" s="246"/>
      <c r="KWL24" s="246"/>
      <c r="KWM24" s="246"/>
      <c r="KWN24" s="246"/>
      <c r="KWO24" s="246"/>
      <c r="KWP24" s="246"/>
      <c r="KWQ24" s="246"/>
      <c r="KWR24" s="246"/>
      <c r="KWS24" s="246"/>
      <c r="KWT24" s="246"/>
      <c r="KWU24" s="246"/>
      <c r="KWV24" s="246"/>
      <c r="KWW24" s="246"/>
      <c r="KWX24" s="246"/>
      <c r="KWY24" s="246"/>
      <c r="KWZ24" s="246"/>
      <c r="KXA24" s="246"/>
      <c r="KXB24" s="246"/>
      <c r="KXC24" s="246"/>
      <c r="KXD24" s="246"/>
      <c r="KXE24" s="246"/>
      <c r="KXF24" s="246"/>
      <c r="KXG24" s="246"/>
      <c r="KXH24" s="246"/>
      <c r="KXI24" s="246"/>
      <c r="KXJ24" s="246"/>
      <c r="KXK24" s="246"/>
      <c r="KXL24" s="246"/>
      <c r="KXM24" s="246"/>
      <c r="KXN24" s="246"/>
      <c r="KXO24" s="246"/>
      <c r="KXP24" s="246"/>
      <c r="KXQ24" s="246"/>
      <c r="KXR24" s="246"/>
      <c r="KXS24" s="246"/>
      <c r="KXT24" s="246"/>
      <c r="KXU24" s="246"/>
      <c r="KXV24" s="246"/>
      <c r="KXW24" s="246"/>
      <c r="KXX24" s="246"/>
      <c r="KXY24" s="246"/>
      <c r="KXZ24" s="246"/>
      <c r="KYA24" s="246"/>
      <c r="KYB24" s="246"/>
      <c r="KYC24" s="246"/>
      <c r="KYD24" s="246"/>
      <c r="KYE24" s="246"/>
      <c r="KYF24" s="246"/>
      <c r="KYG24" s="246"/>
      <c r="KYH24" s="246"/>
      <c r="KYI24" s="246"/>
      <c r="KYJ24" s="246"/>
      <c r="KYK24" s="246"/>
      <c r="KYL24" s="246"/>
      <c r="KYM24" s="246"/>
      <c r="KYN24" s="246"/>
      <c r="KYO24" s="246"/>
      <c r="KYP24" s="246"/>
      <c r="KYQ24" s="246"/>
      <c r="KYR24" s="246"/>
      <c r="KYS24" s="246"/>
      <c r="KYT24" s="246"/>
      <c r="KYU24" s="246"/>
      <c r="KYV24" s="246"/>
      <c r="KYW24" s="246"/>
      <c r="KYX24" s="246"/>
      <c r="KYY24" s="246"/>
      <c r="KYZ24" s="246"/>
      <c r="KZA24" s="246"/>
      <c r="KZB24" s="246"/>
      <c r="KZC24" s="246"/>
      <c r="KZD24" s="246"/>
      <c r="KZE24" s="246"/>
      <c r="KZF24" s="246"/>
      <c r="KZG24" s="246"/>
      <c r="KZH24" s="246"/>
      <c r="KZI24" s="246"/>
      <c r="KZJ24" s="246"/>
      <c r="KZK24" s="246"/>
      <c r="KZL24" s="246"/>
      <c r="KZM24" s="246"/>
      <c r="KZN24" s="246"/>
      <c r="KZO24" s="246"/>
      <c r="KZP24" s="246"/>
      <c r="KZQ24" s="246"/>
      <c r="KZR24" s="246"/>
      <c r="KZS24" s="246"/>
      <c r="KZT24" s="246"/>
      <c r="KZU24" s="246"/>
      <c r="KZV24" s="246"/>
      <c r="KZW24" s="246"/>
      <c r="KZX24" s="246"/>
      <c r="KZY24" s="246"/>
      <c r="KZZ24" s="246"/>
      <c r="LAA24" s="246"/>
      <c r="LAB24" s="246"/>
      <c r="LAC24" s="246"/>
      <c r="LAD24" s="246"/>
      <c r="LAE24" s="246"/>
      <c r="LAF24" s="246"/>
      <c r="LAG24" s="246"/>
      <c r="LAH24" s="246"/>
      <c r="LAI24" s="246"/>
      <c r="LAJ24" s="246"/>
      <c r="LAK24" s="246"/>
      <c r="LAL24" s="246"/>
      <c r="LAM24" s="246"/>
      <c r="LAN24" s="246"/>
      <c r="LAO24" s="246"/>
      <c r="LAP24" s="246"/>
      <c r="LAQ24" s="246"/>
      <c r="LAR24" s="246"/>
      <c r="LAS24" s="246"/>
      <c r="LAT24" s="246"/>
      <c r="LAU24" s="246"/>
      <c r="LAV24" s="246"/>
      <c r="LAW24" s="246"/>
      <c r="LAX24" s="246"/>
      <c r="LAY24" s="246"/>
      <c r="LAZ24" s="246"/>
      <c r="LBA24" s="246"/>
      <c r="LBB24" s="246"/>
      <c r="LBC24" s="246"/>
      <c r="LBD24" s="246"/>
      <c r="LBE24" s="246"/>
      <c r="LBF24" s="246"/>
      <c r="LBG24" s="246"/>
      <c r="LBH24" s="246"/>
      <c r="LBI24" s="246"/>
      <c r="LBJ24" s="246"/>
      <c r="LBK24" s="246"/>
      <c r="LBL24" s="246"/>
      <c r="LBM24" s="246"/>
      <c r="LBN24" s="246"/>
      <c r="LBO24" s="246"/>
      <c r="LBP24" s="246"/>
      <c r="LBQ24" s="246"/>
      <c r="LBR24" s="246"/>
      <c r="LBS24" s="246"/>
      <c r="LBT24" s="246"/>
      <c r="LBU24" s="246"/>
      <c r="LBV24" s="246"/>
      <c r="LBW24" s="246"/>
      <c r="LBX24" s="246"/>
      <c r="LBY24" s="246"/>
      <c r="LBZ24" s="246"/>
      <c r="LCA24" s="246"/>
      <c r="LCB24" s="246"/>
      <c r="LCC24" s="246"/>
      <c r="LCD24" s="246"/>
      <c r="LCE24" s="246"/>
      <c r="LCF24" s="246"/>
      <c r="LCG24" s="246"/>
      <c r="LCH24" s="246"/>
      <c r="LCI24" s="246"/>
      <c r="LCJ24" s="246"/>
      <c r="LCK24" s="246"/>
      <c r="LCL24" s="246"/>
      <c r="LCM24" s="246"/>
      <c r="LCN24" s="246"/>
      <c r="LCO24" s="246"/>
      <c r="LCP24" s="246"/>
      <c r="LCQ24" s="246"/>
      <c r="LCR24" s="246"/>
      <c r="LCS24" s="246"/>
      <c r="LCT24" s="246"/>
      <c r="LCU24" s="246"/>
      <c r="LCV24" s="246"/>
      <c r="LCW24" s="246"/>
      <c r="LCX24" s="246"/>
      <c r="LCY24" s="246"/>
      <c r="LCZ24" s="246"/>
      <c r="LDA24" s="246"/>
      <c r="LDB24" s="246"/>
      <c r="LDC24" s="246"/>
      <c r="LDD24" s="246"/>
      <c r="LDE24" s="246"/>
      <c r="LDF24" s="246"/>
      <c r="LDG24" s="246"/>
      <c r="LDH24" s="246"/>
      <c r="LDI24" s="246"/>
      <c r="LDJ24" s="246"/>
      <c r="LDK24" s="246"/>
      <c r="LDL24" s="246"/>
      <c r="LDM24" s="246"/>
      <c r="LDN24" s="246"/>
      <c r="LDO24" s="246"/>
      <c r="LDP24" s="246"/>
      <c r="LDQ24" s="246"/>
      <c r="LDR24" s="246"/>
      <c r="LDS24" s="246"/>
      <c r="LDT24" s="246"/>
      <c r="LDU24" s="246"/>
      <c r="LDV24" s="246"/>
      <c r="LDW24" s="246"/>
      <c r="LDX24" s="246"/>
      <c r="LDY24" s="246"/>
      <c r="LDZ24" s="246"/>
      <c r="LEA24" s="246"/>
      <c r="LEB24" s="246"/>
      <c r="LEC24" s="246"/>
      <c r="LED24" s="246"/>
      <c r="LEE24" s="246"/>
      <c r="LEF24" s="246"/>
      <c r="LEG24" s="246"/>
      <c r="LEH24" s="246"/>
      <c r="LEI24" s="246"/>
      <c r="LEJ24" s="246"/>
      <c r="LEK24" s="246"/>
      <c r="LEL24" s="246"/>
      <c r="LEM24" s="246"/>
      <c r="LEN24" s="246"/>
      <c r="LEO24" s="246"/>
      <c r="LEP24" s="246"/>
      <c r="LEQ24" s="246"/>
      <c r="LER24" s="246"/>
      <c r="LES24" s="246"/>
      <c r="LET24" s="246"/>
      <c r="LEU24" s="246"/>
      <c r="LEV24" s="246"/>
      <c r="LEW24" s="246"/>
      <c r="LEX24" s="246"/>
      <c r="LEY24" s="246"/>
      <c r="LEZ24" s="246"/>
      <c r="LFA24" s="246"/>
      <c r="LFB24" s="246"/>
      <c r="LFC24" s="246"/>
      <c r="LFD24" s="246"/>
      <c r="LFE24" s="246"/>
      <c r="LFF24" s="246"/>
      <c r="LFG24" s="246"/>
      <c r="LFH24" s="246"/>
      <c r="LFI24" s="246"/>
      <c r="LFJ24" s="246"/>
      <c r="LFK24" s="246"/>
      <c r="LFL24" s="246"/>
      <c r="LFM24" s="246"/>
      <c r="LFN24" s="246"/>
      <c r="LFO24" s="246"/>
      <c r="LFP24" s="246"/>
      <c r="LFQ24" s="246"/>
      <c r="LFR24" s="246"/>
      <c r="LFS24" s="246"/>
      <c r="LFT24" s="246"/>
      <c r="LFU24" s="246"/>
      <c r="LFV24" s="246"/>
      <c r="LFW24" s="246"/>
      <c r="LFX24" s="246"/>
      <c r="LFY24" s="246"/>
      <c r="LFZ24" s="246"/>
      <c r="LGA24" s="246"/>
      <c r="LGB24" s="246"/>
      <c r="LGC24" s="246"/>
      <c r="LGD24" s="246"/>
      <c r="LGE24" s="246"/>
      <c r="LGF24" s="246"/>
      <c r="LGG24" s="246"/>
      <c r="LGH24" s="246"/>
      <c r="LGI24" s="246"/>
      <c r="LGJ24" s="246"/>
      <c r="LGK24" s="246"/>
      <c r="LGL24" s="246"/>
      <c r="LGM24" s="246"/>
      <c r="LGN24" s="246"/>
      <c r="LGO24" s="246"/>
      <c r="LGP24" s="246"/>
      <c r="LGQ24" s="246"/>
      <c r="LGR24" s="246"/>
      <c r="LGS24" s="246"/>
      <c r="LGT24" s="246"/>
      <c r="LGU24" s="246"/>
      <c r="LGV24" s="246"/>
      <c r="LGW24" s="246"/>
      <c r="LGX24" s="246"/>
      <c r="LGY24" s="246"/>
      <c r="LGZ24" s="246"/>
      <c r="LHA24" s="246"/>
      <c r="LHB24" s="246"/>
      <c r="LHC24" s="246"/>
      <c r="LHD24" s="246"/>
      <c r="LHE24" s="246"/>
      <c r="LHF24" s="246"/>
      <c r="LHG24" s="246"/>
      <c r="LHH24" s="246"/>
      <c r="LHI24" s="246"/>
      <c r="LHJ24" s="246"/>
      <c r="LHK24" s="246"/>
      <c r="LHL24" s="246"/>
      <c r="LHM24" s="246"/>
      <c r="LHN24" s="246"/>
      <c r="LHO24" s="246"/>
      <c r="LHP24" s="246"/>
      <c r="LHQ24" s="246"/>
      <c r="LHR24" s="246"/>
      <c r="LHS24" s="246"/>
      <c r="LHT24" s="246"/>
      <c r="LHU24" s="246"/>
      <c r="LHV24" s="246"/>
      <c r="LHW24" s="246"/>
      <c r="LHX24" s="246"/>
      <c r="LHY24" s="246"/>
      <c r="LHZ24" s="246"/>
      <c r="LIA24" s="246"/>
      <c r="LIB24" s="246"/>
      <c r="LIC24" s="246"/>
      <c r="LID24" s="246"/>
      <c r="LIE24" s="246"/>
      <c r="LIF24" s="246"/>
      <c r="LIG24" s="246"/>
      <c r="LIH24" s="246"/>
      <c r="LII24" s="246"/>
      <c r="LIJ24" s="246"/>
      <c r="LIK24" s="246"/>
      <c r="LIL24" s="246"/>
      <c r="LIM24" s="246"/>
      <c r="LIN24" s="246"/>
      <c r="LIO24" s="246"/>
      <c r="LIP24" s="246"/>
      <c r="LIQ24" s="246"/>
      <c r="LIR24" s="246"/>
      <c r="LIS24" s="246"/>
      <c r="LIT24" s="246"/>
      <c r="LIU24" s="246"/>
      <c r="LIV24" s="246"/>
      <c r="LIW24" s="246"/>
      <c r="LIX24" s="246"/>
      <c r="LIY24" s="246"/>
      <c r="LIZ24" s="246"/>
      <c r="LJA24" s="246"/>
      <c r="LJB24" s="246"/>
      <c r="LJC24" s="246"/>
      <c r="LJD24" s="246"/>
      <c r="LJE24" s="246"/>
      <c r="LJF24" s="246"/>
      <c r="LJG24" s="246"/>
      <c r="LJH24" s="246"/>
      <c r="LJI24" s="246"/>
      <c r="LJJ24" s="246"/>
      <c r="LJK24" s="246"/>
      <c r="LJL24" s="246"/>
      <c r="LJM24" s="246"/>
      <c r="LJN24" s="246"/>
      <c r="LJO24" s="246"/>
      <c r="LJP24" s="246"/>
      <c r="LJQ24" s="246"/>
      <c r="LJR24" s="246"/>
      <c r="LJS24" s="246"/>
      <c r="LJT24" s="246"/>
      <c r="LJU24" s="246"/>
      <c r="LJV24" s="246"/>
      <c r="LJW24" s="246"/>
      <c r="LJX24" s="246"/>
      <c r="LJY24" s="246"/>
      <c r="LJZ24" s="246"/>
      <c r="LKA24" s="246"/>
      <c r="LKB24" s="246"/>
      <c r="LKC24" s="246"/>
      <c r="LKD24" s="246"/>
      <c r="LKE24" s="246"/>
      <c r="LKF24" s="246"/>
      <c r="LKG24" s="246"/>
      <c r="LKH24" s="246"/>
      <c r="LKI24" s="246"/>
      <c r="LKJ24" s="246"/>
      <c r="LKK24" s="246"/>
      <c r="LKL24" s="246"/>
      <c r="LKM24" s="246"/>
      <c r="LKN24" s="246"/>
      <c r="LKO24" s="246"/>
      <c r="LKP24" s="246"/>
      <c r="LKQ24" s="246"/>
      <c r="LKR24" s="246"/>
      <c r="LKS24" s="246"/>
      <c r="LKT24" s="246"/>
      <c r="LKU24" s="246"/>
      <c r="LKV24" s="246"/>
      <c r="LKW24" s="246"/>
      <c r="LKX24" s="246"/>
      <c r="LKY24" s="246"/>
      <c r="LKZ24" s="246"/>
      <c r="LLA24" s="246"/>
      <c r="LLB24" s="246"/>
      <c r="LLC24" s="246"/>
      <c r="LLD24" s="246"/>
      <c r="LLE24" s="246"/>
      <c r="LLF24" s="246"/>
      <c r="LLG24" s="246"/>
      <c r="LLH24" s="246"/>
      <c r="LLI24" s="246"/>
      <c r="LLJ24" s="246"/>
      <c r="LLK24" s="246"/>
      <c r="LLL24" s="246"/>
      <c r="LLM24" s="246"/>
      <c r="LLN24" s="246"/>
      <c r="LLO24" s="246"/>
      <c r="LLP24" s="246"/>
      <c r="LLQ24" s="246"/>
      <c r="LLR24" s="246"/>
      <c r="LLS24" s="246"/>
      <c r="LLT24" s="246"/>
      <c r="LLU24" s="246"/>
      <c r="LLV24" s="246"/>
      <c r="LLW24" s="246"/>
      <c r="LLX24" s="246"/>
      <c r="LLY24" s="246"/>
      <c r="LLZ24" s="246"/>
      <c r="LMA24" s="246"/>
      <c r="LMB24" s="246"/>
      <c r="LMC24" s="246"/>
      <c r="LMD24" s="246"/>
      <c r="LME24" s="246"/>
      <c r="LMF24" s="246"/>
      <c r="LMG24" s="246"/>
      <c r="LMH24" s="246"/>
      <c r="LMI24" s="246"/>
      <c r="LMJ24" s="246"/>
      <c r="LMK24" s="246"/>
      <c r="LML24" s="246"/>
      <c r="LMM24" s="246"/>
      <c r="LMN24" s="246"/>
      <c r="LMO24" s="246"/>
      <c r="LMP24" s="246"/>
      <c r="LMQ24" s="246"/>
      <c r="LMR24" s="246"/>
      <c r="LMS24" s="246"/>
      <c r="LMT24" s="246"/>
      <c r="LMU24" s="246"/>
      <c r="LMV24" s="246"/>
      <c r="LMW24" s="246"/>
      <c r="LMX24" s="246"/>
      <c r="LMY24" s="246"/>
      <c r="LMZ24" s="246"/>
      <c r="LNA24" s="246"/>
      <c r="LNB24" s="246"/>
      <c r="LNC24" s="246"/>
      <c r="LND24" s="246"/>
      <c r="LNE24" s="246"/>
      <c r="LNF24" s="246"/>
      <c r="LNG24" s="246"/>
      <c r="LNH24" s="246"/>
      <c r="LNI24" s="246"/>
      <c r="LNJ24" s="246"/>
      <c r="LNK24" s="246"/>
      <c r="LNL24" s="246"/>
      <c r="LNM24" s="246"/>
      <c r="LNN24" s="246"/>
      <c r="LNO24" s="246"/>
      <c r="LNP24" s="246"/>
      <c r="LNQ24" s="246"/>
      <c r="LNR24" s="246"/>
      <c r="LNS24" s="246"/>
      <c r="LNT24" s="246"/>
      <c r="LNU24" s="246"/>
      <c r="LNV24" s="246"/>
      <c r="LNW24" s="246"/>
      <c r="LNX24" s="246"/>
      <c r="LNY24" s="246"/>
      <c r="LNZ24" s="246"/>
      <c r="LOA24" s="246"/>
      <c r="LOB24" s="246"/>
      <c r="LOC24" s="246"/>
      <c r="LOD24" s="246"/>
      <c r="LOE24" s="246"/>
      <c r="LOF24" s="246"/>
      <c r="LOG24" s="246"/>
      <c r="LOH24" s="246"/>
      <c r="LOI24" s="246"/>
      <c r="LOJ24" s="246"/>
      <c r="LOK24" s="246"/>
      <c r="LOL24" s="246"/>
      <c r="LOM24" s="246"/>
      <c r="LON24" s="246"/>
      <c r="LOO24" s="246"/>
      <c r="LOP24" s="246"/>
      <c r="LOQ24" s="246"/>
      <c r="LOR24" s="246"/>
      <c r="LOS24" s="246"/>
      <c r="LOT24" s="246"/>
      <c r="LOU24" s="246"/>
      <c r="LOV24" s="246"/>
      <c r="LOW24" s="246"/>
      <c r="LOX24" s="246"/>
      <c r="LOY24" s="246"/>
      <c r="LOZ24" s="246"/>
      <c r="LPA24" s="246"/>
      <c r="LPB24" s="246"/>
      <c r="LPC24" s="246"/>
      <c r="LPD24" s="246"/>
      <c r="LPE24" s="246"/>
      <c r="LPF24" s="246"/>
      <c r="LPG24" s="246"/>
      <c r="LPH24" s="246"/>
      <c r="LPI24" s="246"/>
      <c r="LPJ24" s="246"/>
      <c r="LPK24" s="246"/>
      <c r="LPL24" s="246"/>
      <c r="LPM24" s="246"/>
      <c r="LPN24" s="246"/>
      <c r="LPO24" s="246"/>
      <c r="LPP24" s="246"/>
      <c r="LPQ24" s="246"/>
      <c r="LPR24" s="246"/>
      <c r="LPS24" s="246"/>
      <c r="LPT24" s="246"/>
      <c r="LPU24" s="246"/>
      <c r="LPV24" s="246"/>
      <c r="LPW24" s="246"/>
      <c r="LPX24" s="246"/>
      <c r="LPY24" s="246"/>
      <c r="LPZ24" s="246"/>
      <c r="LQA24" s="246"/>
      <c r="LQB24" s="246"/>
      <c r="LQC24" s="246"/>
      <c r="LQD24" s="246"/>
      <c r="LQE24" s="246"/>
      <c r="LQF24" s="246"/>
      <c r="LQG24" s="246"/>
      <c r="LQH24" s="246"/>
      <c r="LQI24" s="246"/>
      <c r="LQJ24" s="246"/>
      <c r="LQK24" s="246"/>
      <c r="LQL24" s="246"/>
      <c r="LQM24" s="246"/>
      <c r="LQN24" s="246"/>
      <c r="LQO24" s="246"/>
      <c r="LQP24" s="246"/>
      <c r="LQQ24" s="246"/>
      <c r="LQR24" s="246"/>
      <c r="LQS24" s="246"/>
      <c r="LQT24" s="246"/>
      <c r="LQU24" s="246"/>
      <c r="LQV24" s="246"/>
      <c r="LQW24" s="246"/>
      <c r="LQX24" s="246"/>
      <c r="LQY24" s="246"/>
      <c r="LQZ24" s="246"/>
      <c r="LRA24" s="246"/>
      <c r="LRB24" s="246"/>
      <c r="LRC24" s="246"/>
      <c r="LRD24" s="246"/>
      <c r="LRE24" s="246"/>
      <c r="LRF24" s="246"/>
      <c r="LRG24" s="246"/>
      <c r="LRH24" s="246"/>
      <c r="LRI24" s="246"/>
      <c r="LRJ24" s="246"/>
      <c r="LRK24" s="246"/>
      <c r="LRL24" s="246"/>
      <c r="LRM24" s="246"/>
      <c r="LRN24" s="246"/>
      <c r="LRO24" s="246"/>
      <c r="LRP24" s="246"/>
      <c r="LRQ24" s="246"/>
      <c r="LRR24" s="246"/>
      <c r="LRS24" s="246"/>
      <c r="LRT24" s="246"/>
      <c r="LRU24" s="246"/>
      <c r="LRV24" s="246"/>
      <c r="LRW24" s="246"/>
      <c r="LRX24" s="246"/>
      <c r="LRY24" s="246"/>
      <c r="LRZ24" s="246"/>
      <c r="LSA24" s="246"/>
      <c r="LSB24" s="246"/>
      <c r="LSC24" s="246"/>
      <c r="LSD24" s="246"/>
      <c r="LSE24" s="246"/>
      <c r="LSF24" s="246"/>
      <c r="LSG24" s="246"/>
      <c r="LSH24" s="246"/>
      <c r="LSI24" s="246"/>
      <c r="LSJ24" s="246"/>
      <c r="LSK24" s="246"/>
      <c r="LSL24" s="246"/>
      <c r="LSM24" s="246"/>
      <c r="LSN24" s="246"/>
      <c r="LSO24" s="246"/>
      <c r="LSP24" s="246"/>
      <c r="LSQ24" s="246"/>
      <c r="LSR24" s="246"/>
      <c r="LSS24" s="246"/>
      <c r="LST24" s="246"/>
      <c r="LSU24" s="246"/>
      <c r="LSV24" s="246"/>
      <c r="LSW24" s="246"/>
      <c r="LSX24" s="246"/>
      <c r="LSY24" s="246"/>
      <c r="LSZ24" s="246"/>
      <c r="LTA24" s="246"/>
      <c r="LTB24" s="246"/>
      <c r="LTC24" s="246"/>
      <c r="LTD24" s="246"/>
      <c r="LTE24" s="246"/>
      <c r="LTF24" s="246"/>
      <c r="LTG24" s="246"/>
      <c r="LTH24" s="246"/>
      <c r="LTI24" s="246"/>
      <c r="LTJ24" s="246"/>
      <c r="LTK24" s="246"/>
      <c r="LTL24" s="246"/>
      <c r="LTM24" s="246"/>
      <c r="LTN24" s="246"/>
      <c r="LTO24" s="246"/>
      <c r="LTP24" s="246"/>
      <c r="LTQ24" s="246"/>
      <c r="LTR24" s="246"/>
      <c r="LTS24" s="246"/>
      <c r="LTT24" s="246"/>
      <c r="LTU24" s="246"/>
      <c r="LTV24" s="246"/>
      <c r="LTW24" s="246"/>
      <c r="LTX24" s="246"/>
      <c r="LTY24" s="246"/>
      <c r="LTZ24" s="246"/>
      <c r="LUA24" s="246"/>
      <c r="LUB24" s="246"/>
      <c r="LUC24" s="246"/>
      <c r="LUD24" s="246"/>
      <c r="LUE24" s="246"/>
      <c r="LUF24" s="246"/>
      <c r="LUG24" s="246"/>
      <c r="LUH24" s="246"/>
      <c r="LUI24" s="246"/>
      <c r="LUJ24" s="246"/>
      <c r="LUK24" s="246"/>
      <c r="LUL24" s="246"/>
      <c r="LUM24" s="246"/>
      <c r="LUN24" s="246"/>
      <c r="LUO24" s="246"/>
      <c r="LUP24" s="246"/>
      <c r="LUQ24" s="246"/>
      <c r="LUR24" s="246"/>
      <c r="LUS24" s="246"/>
      <c r="LUT24" s="246"/>
      <c r="LUU24" s="246"/>
      <c r="LUV24" s="246"/>
      <c r="LUW24" s="246"/>
      <c r="LUX24" s="246"/>
      <c r="LUY24" s="246"/>
      <c r="LUZ24" s="246"/>
      <c r="LVA24" s="246"/>
      <c r="LVB24" s="246"/>
      <c r="LVC24" s="246"/>
      <c r="LVD24" s="246"/>
      <c r="LVE24" s="246"/>
      <c r="LVF24" s="246"/>
      <c r="LVG24" s="246"/>
      <c r="LVH24" s="246"/>
      <c r="LVI24" s="246"/>
      <c r="LVJ24" s="246"/>
      <c r="LVK24" s="246"/>
      <c r="LVL24" s="246"/>
      <c r="LVM24" s="246"/>
      <c r="LVN24" s="246"/>
      <c r="LVO24" s="246"/>
      <c r="LVP24" s="246"/>
      <c r="LVQ24" s="246"/>
      <c r="LVR24" s="246"/>
      <c r="LVS24" s="246"/>
      <c r="LVT24" s="246"/>
      <c r="LVU24" s="246"/>
      <c r="LVV24" s="246"/>
      <c r="LVW24" s="246"/>
      <c r="LVX24" s="246"/>
      <c r="LVY24" s="246"/>
      <c r="LVZ24" s="246"/>
      <c r="LWA24" s="246"/>
      <c r="LWB24" s="246"/>
      <c r="LWC24" s="246"/>
      <c r="LWD24" s="246"/>
      <c r="LWE24" s="246"/>
      <c r="LWF24" s="246"/>
      <c r="LWG24" s="246"/>
      <c r="LWH24" s="246"/>
      <c r="LWI24" s="246"/>
      <c r="LWJ24" s="246"/>
      <c r="LWK24" s="246"/>
      <c r="LWL24" s="246"/>
      <c r="LWM24" s="246"/>
      <c r="LWN24" s="246"/>
      <c r="LWO24" s="246"/>
      <c r="LWP24" s="246"/>
      <c r="LWQ24" s="246"/>
      <c r="LWR24" s="246"/>
      <c r="LWS24" s="246"/>
      <c r="LWT24" s="246"/>
      <c r="LWU24" s="246"/>
      <c r="LWV24" s="246"/>
      <c r="LWW24" s="246"/>
      <c r="LWX24" s="246"/>
      <c r="LWY24" s="246"/>
      <c r="LWZ24" s="246"/>
      <c r="LXA24" s="246"/>
      <c r="LXB24" s="246"/>
      <c r="LXC24" s="246"/>
      <c r="LXD24" s="246"/>
      <c r="LXE24" s="246"/>
      <c r="LXF24" s="246"/>
      <c r="LXG24" s="246"/>
      <c r="LXH24" s="246"/>
      <c r="LXI24" s="246"/>
      <c r="LXJ24" s="246"/>
      <c r="LXK24" s="246"/>
      <c r="LXL24" s="246"/>
      <c r="LXM24" s="246"/>
      <c r="LXN24" s="246"/>
      <c r="LXO24" s="246"/>
      <c r="LXP24" s="246"/>
      <c r="LXQ24" s="246"/>
      <c r="LXR24" s="246"/>
      <c r="LXS24" s="246"/>
      <c r="LXT24" s="246"/>
      <c r="LXU24" s="246"/>
      <c r="LXV24" s="246"/>
      <c r="LXW24" s="246"/>
      <c r="LXX24" s="246"/>
      <c r="LXY24" s="246"/>
      <c r="LXZ24" s="246"/>
      <c r="LYA24" s="246"/>
      <c r="LYB24" s="246"/>
      <c r="LYC24" s="246"/>
      <c r="LYD24" s="246"/>
      <c r="LYE24" s="246"/>
      <c r="LYF24" s="246"/>
      <c r="LYG24" s="246"/>
      <c r="LYH24" s="246"/>
      <c r="LYI24" s="246"/>
      <c r="LYJ24" s="246"/>
      <c r="LYK24" s="246"/>
      <c r="LYL24" s="246"/>
      <c r="LYM24" s="246"/>
      <c r="LYN24" s="246"/>
      <c r="LYO24" s="246"/>
      <c r="LYP24" s="246"/>
      <c r="LYQ24" s="246"/>
      <c r="LYR24" s="246"/>
      <c r="LYS24" s="246"/>
      <c r="LYT24" s="246"/>
      <c r="LYU24" s="246"/>
      <c r="LYV24" s="246"/>
      <c r="LYW24" s="246"/>
      <c r="LYX24" s="246"/>
      <c r="LYY24" s="246"/>
      <c r="LYZ24" s="246"/>
      <c r="LZA24" s="246"/>
      <c r="LZB24" s="246"/>
      <c r="LZC24" s="246"/>
      <c r="LZD24" s="246"/>
      <c r="LZE24" s="246"/>
      <c r="LZF24" s="246"/>
      <c r="LZG24" s="246"/>
      <c r="LZH24" s="246"/>
      <c r="LZI24" s="246"/>
      <c r="LZJ24" s="246"/>
      <c r="LZK24" s="246"/>
      <c r="LZL24" s="246"/>
      <c r="LZM24" s="246"/>
      <c r="LZN24" s="246"/>
      <c r="LZO24" s="246"/>
      <c r="LZP24" s="246"/>
      <c r="LZQ24" s="246"/>
      <c r="LZR24" s="246"/>
      <c r="LZS24" s="246"/>
      <c r="LZT24" s="246"/>
      <c r="LZU24" s="246"/>
      <c r="LZV24" s="246"/>
      <c r="LZW24" s="246"/>
      <c r="LZX24" s="246"/>
      <c r="LZY24" s="246"/>
      <c r="LZZ24" s="246"/>
      <c r="MAA24" s="246"/>
      <c r="MAB24" s="246"/>
      <c r="MAC24" s="246"/>
      <c r="MAD24" s="246"/>
      <c r="MAE24" s="246"/>
      <c r="MAF24" s="246"/>
      <c r="MAG24" s="246"/>
      <c r="MAH24" s="246"/>
      <c r="MAI24" s="246"/>
      <c r="MAJ24" s="246"/>
      <c r="MAK24" s="246"/>
      <c r="MAL24" s="246"/>
      <c r="MAM24" s="246"/>
      <c r="MAN24" s="246"/>
      <c r="MAO24" s="246"/>
      <c r="MAP24" s="246"/>
      <c r="MAQ24" s="246"/>
      <c r="MAR24" s="246"/>
      <c r="MAS24" s="246"/>
      <c r="MAT24" s="246"/>
      <c r="MAU24" s="246"/>
      <c r="MAV24" s="246"/>
      <c r="MAW24" s="246"/>
      <c r="MAX24" s="246"/>
      <c r="MAY24" s="246"/>
      <c r="MAZ24" s="246"/>
      <c r="MBA24" s="246"/>
      <c r="MBB24" s="246"/>
      <c r="MBC24" s="246"/>
      <c r="MBD24" s="246"/>
      <c r="MBE24" s="246"/>
      <c r="MBF24" s="246"/>
      <c r="MBG24" s="246"/>
      <c r="MBH24" s="246"/>
      <c r="MBI24" s="246"/>
      <c r="MBJ24" s="246"/>
      <c r="MBK24" s="246"/>
      <c r="MBL24" s="246"/>
      <c r="MBM24" s="246"/>
      <c r="MBN24" s="246"/>
      <c r="MBO24" s="246"/>
      <c r="MBP24" s="246"/>
      <c r="MBQ24" s="246"/>
      <c r="MBR24" s="246"/>
      <c r="MBS24" s="246"/>
      <c r="MBT24" s="246"/>
      <c r="MBU24" s="246"/>
      <c r="MBV24" s="246"/>
      <c r="MBW24" s="246"/>
      <c r="MBX24" s="246"/>
      <c r="MBY24" s="246"/>
      <c r="MBZ24" s="246"/>
      <c r="MCA24" s="246"/>
      <c r="MCB24" s="246"/>
      <c r="MCC24" s="246"/>
      <c r="MCD24" s="246"/>
      <c r="MCE24" s="246"/>
      <c r="MCF24" s="246"/>
      <c r="MCG24" s="246"/>
      <c r="MCH24" s="246"/>
      <c r="MCI24" s="246"/>
      <c r="MCJ24" s="246"/>
      <c r="MCK24" s="246"/>
      <c r="MCL24" s="246"/>
      <c r="MCM24" s="246"/>
      <c r="MCN24" s="246"/>
      <c r="MCO24" s="246"/>
      <c r="MCP24" s="246"/>
      <c r="MCQ24" s="246"/>
      <c r="MCR24" s="246"/>
      <c r="MCS24" s="246"/>
      <c r="MCT24" s="246"/>
      <c r="MCU24" s="246"/>
      <c r="MCV24" s="246"/>
      <c r="MCW24" s="246"/>
      <c r="MCX24" s="246"/>
      <c r="MCY24" s="246"/>
      <c r="MCZ24" s="246"/>
      <c r="MDA24" s="246"/>
      <c r="MDB24" s="246"/>
      <c r="MDC24" s="246"/>
      <c r="MDD24" s="246"/>
      <c r="MDE24" s="246"/>
      <c r="MDF24" s="246"/>
      <c r="MDG24" s="246"/>
      <c r="MDH24" s="246"/>
      <c r="MDI24" s="246"/>
      <c r="MDJ24" s="246"/>
      <c r="MDK24" s="246"/>
      <c r="MDL24" s="246"/>
      <c r="MDM24" s="246"/>
      <c r="MDN24" s="246"/>
      <c r="MDO24" s="246"/>
      <c r="MDP24" s="246"/>
      <c r="MDQ24" s="246"/>
      <c r="MDR24" s="246"/>
      <c r="MDS24" s="246"/>
      <c r="MDT24" s="246"/>
      <c r="MDU24" s="246"/>
      <c r="MDV24" s="246"/>
      <c r="MDW24" s="246"/>
      <c r="MDX24" s="246"/>
      <c r="MDY24" s="246"/>
      <c r="MDZ24" s="246"/>
      <c r="MEA24" s="246"/>
      <c r="MEB24" s="246"/>
      <c r="MEC24" s="246"/>
      <c r="MED24" s="246"/>
      <c r="MEE24" s="246"/>
      <c r="MEF24" s="246"/>
      <c r="MEG24" s="246"/>
      <c r="MEH24" s="246"/>
      <c r="MEI24" s="246"/>
      <c r="MEJ24" s="246"/>
      <c r="MEK24" s="246"/>
      <c r="MEL24" s="246"/>
      <c r="MEM24" s="246"/>
      <c r="MEN24" s="246"/>
      <c r="MEO24" s="246"/>
      <c r="MEP24" s="246"/>
      <c r="MEQ24" s="246"/>
      <c r="MER24" s="246"/>
      <c r="MES24" s="246"/>
      <c r="MET24" s="246"/>
      <c r="MEU24" s="246"/>
      <c r="MEV24" s="246"/>
      <c r="MEW24" s="246"/>
      <c r="MEX24" s="246"/>
      <c r="MEY24" s="246"/>
      <c r="MEZ24" s="246"/>
      <c r="MFA24" s="246"/>
      <c r="MFB24" s="246"/>
      <c r="MFC24" s="246"/>
      <c r="MFD24" s="246"/>
      <c r="MFE24" s="246"/>
      <c r="MFF24" s="246"/>
      <c r="MFG24" s="246"/>
      <c r="MFH24" s="246"/>
      <c r="MFI24" s="246"/>
      <c r="MFJ24" s="246"/>
      <c r="MFK24" s="246"/>
      <c r="MFL24" s="246"/>
      <c r="MFM24" s="246"/>
      <c r="MFN24" s="246"/>
      <c r="MFO24" s="246"/>
      <c r="MFP24" s="246"/>
      <c r="MFQ24" s="246"/>
      <c r="MFR24" s="246"/>
      <c r="MFS24" s="246"/>
      <c r="MFT24" s="246"/>
      <c r="MFU24" s="246"/>
      <c r="MFV24" s="246"/>
      <c r="MFW24" s="246"/>
      <c r="MFX24" s="246"/>
      <c r="MFY24" s="246"/>
      <c r="MFZ24" s="246"/>
      <c r="MGA24" s="246"/>
      <c r="MGB24" s="246"/>
      <c r="MGC24" s="246"/>
      <c r="MGD24" s="246"/>
      <c r="MGE24" s="246"/>
      <c r="MGF24" s="246"/>
      <c r="MGG24" s="246"/>
      <c r="MGH24" s="246"/>
      <c r="MGI24" s="246"/>
      <c r="MGJ24" s="246"/>
      <c r="MGK24" s="246"/>
      <c r="MGL24" s="246"/>
      <c r="MGM24" s="246"/>
      <c r="MGN24" s="246"/>
      <c r="MGO24" s="246"/>
      <c r="MGP24" s="246"/>
      <c r="MGQ24" s="246"/>
      <c r="MGR24" s="246"/>
      <c r="MGS24" s="246"/>
      <c r="MGT24" s="246"/>
      <c r="MGU24" s="246"/>
      <c r="MGV24" s="246"/>
      <c r="MGW24" s="246"/>
      <c r="MGX24" s="246"/>
      <c r="MGY24" s="246"/>
      <c r="MGZ24" s="246"/>
      <c r="MHA24" s="246"/>
      <c r="MHB24" s="246"/>
      <c r="MHC24" s="246"/>
      <c r="MHD24" s="246"/>
      <c r="MHE24" s="246"/>
      <c r="MHF24" s="246"/>
      <c r="MHG24" s="246"/>
      <c r="MHH24" s="246"/>
      <c r="MHI24" s="246"/>
      <c r="MHJ24" s="246"/>
      <c r="MHK24" s="246"/>
      <c r="MHL24" s="246"/>
      <c r="MHM24" s="246"/>
      <c r="MHN24" s="246"/>
      <c r="MHO24" s="246"/>
      <c r="MHP24" s="246"/>
      <c r="MHQ24" s="246"/>
      <c r="MHR24" s="246"/>
      <c r="MHS24" s="246"/>
      <c r="MHT24" s="246"/>
      <c r="MHU24" s="246"/>
      <c r="MHV24" s="246"/>
      <c r="MHW24" s="246"/>
      <c r="MHX24" s="246"/>
      <c r="MHY24" s="246"/>
      <c r="MHZ24" s="246"/>
      <c r="MIA24" s="246"/>
      <c r="MIB24" s="246"/>
      <c r="MIC24" s="246"/>
      <c r="MID24" s="246"/>
      <c r="MIE24" s="246"/>
      <c r="MIF24" s="246"/>
      <c r="MIG24" s="246"/>
      <c r="MIH24" s="246"/>
      <c r="MII24" s="246"/>
      <c r="MIJ24" s="246"/>
      <c r="MIK24" s="246"/>
      <c r="MIL24" s="246"/>
      <c r="MIM24" s="246"/>
      <c r="MIN24" s="246"/>
      <c r="MIO24" s="246"/>
      <c r="MIP24" s="246"/>
      <c r="MIQ24" s="246"/>
      <c r="MIR24" s="246"/>
      <c r="MIS24" s="246"/>
      <c r="MIT24" s="246"/>
      <c r="MIU24" s="246"/>
      <c r="MIV24" s="246"/>
      <c r="MIW24" s="246"/>
      <c r="MIX24" s="246"/>
      <c r="MIY24" s="246"/>
      <c r="MIZ24" s="246"/>
      <c r="MJA24" s="246"/>
      <c r="MJB24" s="246"/>
      <c r="MJC24" s="246"/>
      <c r="MJD24" s="246"/>
      <c r="MJE24" s="246"/>
      <c r="MJF24" s="246"/>
      <c r="MJG24" s="246"/>
      <c r="MJH24" s="246"/>
      <c r="MJI24" s="246"/>
      <c r="MJJ24" s="246"/>
      <c r="MJK24" s="246"/>
      <c r="MJL24" s="246"/>
      <c r="MJM24" s="246"/>
      <c r="MJN24" s="246"/>
      <c r="MJO24" s="246"/>
      <c r="MJP24" s="246"/>
      <c r="MJQ24" s="246"/>
      <c r="MJR24" s="246"/>
      <c r="MJS24" s="246"/>
      <c r="MJT24" s="246"/>
      <c r="MJU24" s="246"/>
      <c r="MJV24" s="246"/>
      <c r="MJW24" s="246"/>
      <c r="MJX24" s="246"/>
      <c r="MJY24" s="246"/>
      <c r="MJZ24" s="246"/>
      <c r="MKA24" s="246"/>
      <c r="MKB24" s="246"/>
      <c r="MKC24" s="246"/>
      <c r="MKD24" s="246"/>
      <c r="MKE24" s="246"/>
      <c r="MKF24" s="246"/>
      <c r="MKG24" s="246"/>
      <c r="MKH24" s="246"/>
      <c r="MKI24" s="246"/>
      <c r="MKJ24" s="246"/>
      <c r="MKK24" s="246"/>
      <c r="MKL24" s="246"/>
      <c r="MKM24" s="246"/>
      <c r="MKN24" s="246"/>
      <c r="MKO24" s="246"/>
      <c r="MKP24" s="246"/>
      <c r="MKQ24" s="246"/>
      <c r="MKR24" s="246"/>
      <c r="MKS24" s="246"/>
      <c r="MKT24" s="246"/>
      <c r="MKU24" s="246"/>
      <c r="MKV24" s="246"/>
      <c r="MKW24" s="246"/>
      <c r="MKX24" s="246"/>
      <c r="MKY24" s="246"/>
      <c r="MKZ24" s="246"/>
      <c r="MLA24" s="246"/>
      <c r="MLB24" s="246"/>
      <c r="MLC24" s="246"/>
      <c r="MLD24" s="246"/>
      <c r="MLE24" s="246"/>
      <c r="MLF24" s="246"/>
      <c r="MLG24" s="246"/>
      <c r="MLH24" s="246"/>
      <c r="MLI24" s="246"/>
      <c r="MLJ24" s="246"/>
      <c r="MLK24" s="246"/>
      <c r="MLL24" s="246"/>
      <c r="MLM24" s="246"/>
      <c r="MLN24" s="246"/>
      <c r="MLO24" s="246"/>
      <c r="MLP24" s="246"/>
      <c r="MLQ24" s="246"/>
      <c r="MLR24" s="246"/>
      <c r="MLS24" s="246"/>
      <c r="MLT24" s="246"/>
      <c r="MLU24" s="246"/>
      <c r="MLV24" s="246"/>
      <c r="MLW24" s="246"/>
      <c r="MLX24" s="246"/>
      <c r="MLY24" s="246"/>
      <c r="MLZ24" s="246"/>
      <c r="MMA24" s="246"/>
      <c r="MMB24" s="246"/>
      <c r="MMC24" s="246"/>
      <c r="MMD24" s="246"/>
      <c r="MME24" s="246"/>
      <c r="MMF24" s="246"/>
      <c r="MMG24" s="246"/>
      <c r="MMH24" s="246"/>
      <c r="MMI24" s="246"/>
      <c r="MMJ24" s="246"/>
      <c r="MMK24" s="246"/>
      <c r="MML24" s="246"/>
      <c r="MMM24" s="246"/>
      <c r="MMN24" s="246"/>
      <c r="MMO24" s="246"/>
      <c r="MMP24" s="246"/>
      <c r="MMQ24" s="246"/>
      <c r="MMR24" s="246"/>
      <c r="MMS24" s="246"/>
      <c r="MMT24" s="246"/>
      <c r="MMU24" s="246"/>
      <c r="MMV24" s="246"/>
      <c r="MMW24" s="246"/>
      <c r="MMX24" s="246"/>
      <c r="MMY24" s="246"/>
      <c r="MMZ24" s="246"/>
      <c r="MNA24" s="246"/>
      <c r="MNB24" s="246"/>
      <c r="MNC24" s="246"/>
      <c r="MND24" s="246"/>
      <c r="MNE24" s="246"/>
      <c r="MNF24" s="246"/>
      <c r="MNG24" s="246"/>
      <c r="MNH24" s="246"/>
      <c r="MNI24" s="246"/>
      <c r="MNJ24" s="246"/>
      <c r="MNK24" s="246"/>
      <c r="MNL24" s="246"/>
      <c r="MNM24" s="246"/>
      <c r="MNN24" s="246"/>
      <c r="MNO24" s="246"/>
      <c r="MNP24" s="246"/>
      <c r="MNQ24" s="246"/>
      <c r="MNR24" s="246"/>
      <c r="MNS24" s="246"/>
      <c r="MNT24" s="246"/>
      <c r="MNU24" s="246"/>
      <c r="MNV24" s="246"/>
      <c r="MNW24" s="246"/>
      <c r="MNX24" s="246"/>
      <c r="MNY24" s="246"/>
      <c r="MNZ24" s="246"/>
      <c r="MOA24" s="246"/>
      <c r="MOB24" s="246"/>
      <c r="MOC24" s="246"/>
      <c r="MOD24" s="246"/>
      <c r="MOE24" s="246"/>
      <c r="MOF24" s="246"/>
      <c r="MOG24" s="246"/>
      <c r="MOH24" s="246"/>
      <c r="MOI24" s="246"/>
      <c r="MOJ24" s="246"/>
      <c r="MOK24" s="246"/>
      <c r="MOL24" s="246"/>
      <c r="MOM24" s="246"/>
      <c r="MON24" s="246"/>
      <c r="MOO24" s="246"/>
      <c r="MOP24" s="246"/>
      <c r="MOQ24" s="246"/>
      <c r="MOR24" s="246"/>
      <c r="MOS24" s="246"/>
      <c r="MOT24" s="246"/>
      <c r="MOU24" s="246"/>
      <c r="MOV24" s="246"/>
      <c r="MOW24" s="246"/>
      <c r="MOX24" s="246"/>
      <c r="MOY24" s="246"/>
      <c r="MOZ24" s="246"/>
      <c r="MPA24" s="246"/>
      <c r="MPB24" s="246"/>
      <c r="MPC24" s="246"/>
      <c r="MPD24" s="246"/>
      <c r="MPE24" s="246"/>
      <c r="MPF24" s="246"/>
      <c r="MPG24" s="246"/>
      <c r="MPH24" s="246"/>
      <c r="MPI24" s="246"/>
      <c r="MPJ24" s="246"/>
      <c r="MPK24" s="246"/>
      <c r="MPL24" s="246"/>
      <c r="MPM24" s="246"/>
      <c r="MPN24" s="246"/>
      <c r="MPO24" s="246"/>
      <c r="MPP24" s="246"/>
      <c r="MPQ24" s="246"/>
      <c r="MPR24" s="246"/>
      <c r="MPS24" s="246"/>
      <c r="MPT24" s="246"/>
      <c r="MPU24" s="246"/>
      <c r="MPV24" s="246"/>
      <c r="MPW24" s="246"/>
      <c r="MPX24" s="246"/>
      <c r="MPY24" s="246"/>
      <c r="MPZ24" s="246"/>
      <c r="MQA24" s="246"/>
      <c r="MQB24" s="246"/>
      <c r="MQC24" s="246"/>
      <c r="MQD24" s="246"/>
      <c r="MQE24" s="246"/>
      <c r="MQF24" s="246"/>
      <c r="MQG24" s="246"/>
      <c r="MQH24" s="246"/>
      <c r="MQI24" s="246"/>
      <c r="MQJ24" s="246"/>
      <c r="MQK24" s="246"/>
      <c r="MQL24" s="246"/>
      <c r="MQM24" s="246"/>
      <c r="MQN24" s="246"/>
      <c r="MQO24" s="246"/>
      <c r="MQP24" s="246"/>
      <c r="MQQ24" s="246"/>
      <c r="MQR24" s="246"/>
      <c r="MQS24" s="246"/>
      <c r="MQT24" s="246"/>
      <c r="MQU24" s="246"/>
      <c r="MQV24" s="246"/>
      <c r="MQW24" s="246"/>
      <c r="MQX24" s="246"/>
      <c r="MQY24" s="246"/>
      <c r="MQZ24" s="246"/>
      <c r="MRA24" s="246"/>
      <c r="MRB24" s="246"/>
      <c r="MRC24" s="246"/>
      <c r="MRD24" s="246"/>
      <c r="MRE24" s="246"/>
      <c r="MRF24" s="246"/>
      <c r="MRG24" s="246"/>
      <c r="MRH24" s="246"/>
      <c r="MRI24" s="246"/>
      <c r="MRJ24" s="246"/>
      <c r="MRK24" s="246"/>
      <c r="MRL24" s="246"/>
      <c r="MRM24" s="246"/>
      <c r="MRN24" s="246"/>
      <c r="MRO24" s="246"/>
      <c r="MRP24" s="246"/>
      <c r="MRQ24" s="246"/>
      <c r="MRR24" s="246"/>
      <c r="MRS24" s="246"/>
      <c r="MRT24" s="246"/>
      <c r="MRU24" s="246"/>
      <c r="MRV24" s="246"/>
      <c r="MRW24" s="246"/>
      <c r="MRX24" s="246"/>
      <c r="MRY24" s="246"/>
      <c r="MRZ24" s="246"/>
      <c r="MSA24" s="246"/>
      <c r="MSB24" s="246"/>
      <c r="MSC24" s="246"/>
      <c r="MSD24" s="246"/>
      <c r="MSE24" s="246"/>
      <c r="MSF24" s="246"/>
      <c r="MSG24" s="246"/>
      <c r="MSH24" s="246"/>
      <c r="MSI24" s="246"/>
      <c r="MSJ24" s="246"/>
      <c r="MSK24" s="246"/>
      <c r="MSL24" s="246"/>
      <c r="MSM24" s="246"/>
      <c r="MSN24" s="246"/>
      <c r="MSO24" s="246"/>
      <c r="MSP24" s="246"/>
      <c r="MSQ24" s="246"/>
      <c r="MSR24" s="246"/>
      <c r="MSS24" s="246"/>
      <c r="MST24" s="246"/>
      <c r="MSU24" s="246"/>
      <c r="MSV24" s="246"/>
      <c r="MSW24" s="246"/>
      <c r="MSX24" s="246"/>
      <c r="MSY24" s="246"/>
      <c r="MSZ24" s="246"/>
      <c r="MTA24" s="246"/>
      <c r="MTB24" s="246"/>
      <c r="MTC24" s="246"/>
      <c r="MTD24" s="246"/>
      <c r="MTE24" s="246"/>
      <c r="MTF24" s="246"/>
      <c r="MTG24" s="246"/>
      <c r="MTH24" s="246"/>
      <c r="MTI24" s="246"/>
      <c r="MTJ24" s="246"/>
      <c r="MTK24" s="246"/>
      <c r="MTL24" s="246"/>
      <c r="MTM24" s="246"/>
      <c r="MTN24" s="246"/>
      <c r="MTO24" s="246"/>
      <c r="MTP24" s="246"/>
      <c r="MTQ24" s="246"/>
      <c r="MTR24" s="246"/>
      <c r="MTS24" s="246"/>
      <c r="MTT24" s="246"/>
      <c r="MTU24" s="246"/>
      <c r="MTV24" s="246"/>
      <c r="MTW24" s="246"/>
      <c r="MTX24" s="246"/>
      <c r="MTY24" s="246"/>
      <c r="MTZ24" s="246"/>
      <c r="MUA24" s="246"/>
      <c r="MUB24" s="246"/>
      <c r="MUC24" s="246"/>
      <c r="MUD24" s="246"/>
      <c r="MUE24" s="246"/>
      <c r="MUF24" s="246"/>
      <c r="MUG24" s="246"/>
      <c r="MUH24" s="246"/>
      <c r="MUI24" s="246"/>
      <c r="MUJ24" s="246"/>
      <c r="MUK24" s="246"/>
      <c r="MUL24" s="246"/>
      <c r="MUM24" s="246"/>
      <c r="MUN24" s="246"/>
      <c r="MUO24" s="246"/>
      <c r="MUP24" s="246"/>
      <c r="MUQ24" s="246"/>
      <c r="MUR24" s="246"/>
      <c r="MUS24" s="246"/>
      <c r="MUT24" s="246"/>
      <c r="MUU24" s="246"/>
      <c r="MUV24" s="246"/>
      <c r="MUW24" s="246"/>
      <c r="MUX24" s="246"/>
      <c r="MUY24" s="246"/>
      <c r="MUZ24" s="246"/>
      <c r="MVA24" s="246"/>
      <c r="MVB24" s="246"/>
      <c r="MVC24" s="246"/>
      <c r="MVD24" s="246"/>
      <c r="MVE24" s="246"/>
      <c r="MVF24" s="246"/>
      <c r="MVG24" s="246"/>
      <c r="MVH24" s="246"/>
      <c r="MVI24" s="246"/>
      <c r="MVJ24" s="246"/>
      <c r="MVK24" s="246"/>
      <c r="MVL24" s="246"/>
      <c r="MVM24" s="246"/>
      <c r="MVN24" s="246"/>
      <c r="MVO24" s="246"/>
      <c r="MVP24" s="246"/>
      <c r="MVQ24" s="246"/>
      <c r="MVR24" s="246"/>
      <c r="MVS24" s="246"/>
      <c r="MVT24" s="246"/>
      <c r="MVU24" s="246"/>
      <c r="MVV24" s="246"/>
      <c r="MVW24" s="246"/>
      <c r="MVX24" s="246"/>
      <c r="MVY24" s="246"/>
      <c r="MVZ24" s="246"/>
      <c r="MWA24" s="246"/>
      <c r="MWB24" s="246"/>
      <c r="MWC24" s="246"/>
      <c r="MWD24" s="246"/>
      <c r="MWE24" s="246"/>
      <c r="MWF24" s="246"/>
      <c r="MWG24" s="246"/>
      <c r="MWH24" s="246"/>
      <c r="MWI24" s="246"/>
      <c r="MWJ24" s="246"/>
      <c r="MWK24" s="246"/>
      <c r="MWL24" s="246"/>
      <c r="MWM24" s="246"/>
      <c r="MWN24" s="246"/>
      <c r="MWO24" s="246"/>
      <c r="MWP24" s="246"/>
      <c r="MWQ24" s="246"/>
      <c r="MWR24" s="246"/>
      <c r="MWS24" s="246"/>
      <c r="MWT24" s="246"/>
      <c r="MWU24" s="246"/>
      <c r="MWV24" s="246"/>
      <c r="MWW24" s="246"/>
      <c r="MWX24" s="246"/>
      <c r="MWY24" s="246"/>
      <c r="MWZ24" s="246"/>
      <c r="MXA24" s="246"/>
      <c r="MXB24" s="246"/>
      <c r="MXC24" s="246"/>
      <c r="MXD24" s="246"/>
      <c r="MXE24" s="246"/>
      <c r="MXF24" s="246"/>
      <c r="MXG24" s="246"/>
      <c r="MXH24" s="246"/>
      <c r="MXI24" s="246"/>
      <c r="MXJ24" s="246"/>
      <c r="MXK24" s="246"/>
      <c r="MXL24" s="246"/>
      <c r="MXM24" s="246"/>
      <c r="MXN24" s="246"/>
      <c r="MXO24" s="246"/>
      <c r="MXP24" s="246"/>
      <c r="MXQ24" s="246"/>
      <c r="MXR24" s="246"/>
      <c r="MXS24" s="246"/>
      <c r="MXT24" s="246"/>
      <c r="MXU24" s="246"/>
      <c r="MXV24" s="246"/>
      <c r="MXW24" s="246"/>
      <c r="MXX24" s="246"/>
      <c r="MXY24" s="246"/>
      <c r="MXZ24" s="246"/>
      <c r="MYA24" s="246"/>
      <c r="MYB24" s="246"/>
      <c r="MYC24" s="246"/>
      <c r="MYD24" s="246"/>
      <c r="MYE24" s="246"/>
      <c r="MYF24" s="246"/>
      <c r="MYG24" s="246"/>
      <c r="MYH24" s="246"/>
      <c r="MYI24" s="246"/>
      <c r="MYJ24" s="246"/>
      <c r="MYK24" s="246"/>
      <c r="MYL24" s="246"/>
      <c r="MYM24" s="246"/>
      <c r="MYN24" s="246"/>
      <c r="MYO24" s="246"/>
      <c r="MYP24" s="246"/>
      <c r="MYQ24" s="246"/>
      <c r="MYR24" s="246"/>
      <c r="MYS24" s="246"/>
      <c r="MYT24" s="246"/>
      <c r="MYU24" s="246"/>
      <c r="MYV24" s="246"/>
      <c r="MYW24" s="246"/>
      <c r="MYX24" s="246"/>
      <c r="MYY24" s="246"/>
      <c r="MYZ24" s="246"/>
      <c r="MZA24" s="246"/>
      <c r="MZB24" s="246"/>
      <c r="MZC24" s="246"/>
      <c r="MZD24" s="246"/>
      <c r="MZE24" s="246"/>
      <c r="MZF24" s="246"/>
      <c r="MZG24" s="246"/>
      <c r="MZH24" s="246"/>
      <c r="MZI24" s="246"/>
      <c r="MZJ24" s="246"/>
      <c r="MZK24" s="246"/>
      <c r="MZL24" s="246"/>
      <c r="MZM24" s="246"/>
      <c r="MZN24" s="246"/>
      <c r="MZO24" s="246"/>
      <c r="MZP24" s="246"/>
      <c r="MZQ24" s="246"/>
      <c r="MZR24" s="246"/>
      <c r="MZS24" s="246"/>
      <c r="MZT24" s="246"/>
      <c r="MZU24" s="246"/>
      <c r="MZV24" s="246"/>
      <c r="MZW24" s="246"/>
      <c r="MZX24" s="246"/>
      <c r="MZY24" s="246"/>
      <c r="MZZ24" s="246"/>
      <c r="NAA24" s="246"/>
      <c r="NAB24" s="246"/>
      <c r="NAC24" s="246"/>
      <c r="NAD24" s="246"/>
      <c r="NAE24" s="246"/>
      <c r="NAF24" s="246"/>
      <c r="NAG24" s="246"/>
      <c r="NAH24" s="246"/>
      <c r="NAI24" s="246"/>
      <c r="NAJ24" s="246"/>
      <c r="NAK24" s="246"/>
      <c r="NAL24" s="246"/>
      <c r="NAM24" s="246"/>
      <c r="NAN24" s="246"/>
      <c r="NAO24" s="246"/>
      <c r="NAP24" s="246"/>
      <c r="NAQ24" s="246"/>
      <c r="NAR24" s="246"/>
      <c r="NAS24" s="246"/>
      <c r="NAT24" s="246"/>
      <c r="NAU24" s="246"/>
      <c r="NAV24" s="246"/>
      <c r="NAW24" s="246"/>
      <c r="NAX24" s="246"/>
      <c r="NAY24" s="246"/>
      <c r="NAZ24" s="246"/>
      <c r="NBA24" s="246"/>
      <c r="NBB24" s="246"/>
      <c r="NBC24" s="246"/>
      <c r="NBD24" s="246"/>
      <c r="NBE24" s="246"/>
      <c r="NBF24" s="246"/>
      <c r="NBG24" s="246"/>
      <c r="NBH24" s="246"/>
      <c r="NBI24" s="246"/>
      <c r="NBJ24" s="246"/>
      <c r="NBK24" s="246"/>
      <c r="NBL24" s="246"/>
      <c r="NBM24" s="246"/>
      <c r="NBN24" s="246"/>
      <c r="NBO24" s="246"/>
      <c r="NBP24" s="246"/>
      <c r="NBQ24" s="246"/>
      <c r="NBR24" s="246"/>
      <c r="NBS24" s="246"/>
      <c r="NBT24" s="246"/>
      <c r="NBU24" s="246"/>
      <c r="NBV24" s="246"/>
      <c r="NBW24" s="246"/>
      <c r="NBX24" s="246"/>
      <c r="NBY24" s="246"/>
      <c r="NBZ24" s="246"/>
      <c r="NCA24" s="246"/>
      <c r="NCB24" s="246"/>
      <c r="NCC24" s="246"/>
      <c r="NCD24" s="246"/>
      <c r="NCE24" s="246"/>
      <c r="NCF24" s="246"/>
      <c r="NCG24" s="246"/>
      <c r="NCH24" s="246"/>
      <c r="NCI24" s="246"/>
      <c r="NCJ24" s="246"/>
      <c r="NCK24" s="246"/>
      <c r="NCL24" s="246"/>
      <c r="NCM24" s="246"/>
      <c r="NCN24" s="246"/>
      <c r="NCO24" s="246"/>
      <c r="NCP24" s="246"/>
      <c r="NCQ24" s="246"/>
      <c r="NCR24" s="246"/>
      <c r="NCS24" s="246"/>
      <c r="NCT24" s="246"/>
      <c r="NCU24" s="246"/>
      <c r="NCV24" s="246"/>
      <c r="NCW24" s="246"/>
      <c r="NCX24" s="246"/>
      <c r="NCY24" s="246"/>
      <c r="NCZ24" s="246"/>
      <c r="NDA24" s="246"/>
      <c r="NDB24" s="246"/>
      <c r="NDC24" s="246"/>
      <c r="NDD24" s="246"/>
      <c r="NDE24" s="246"/>
      <c r="NDF24" s="246"/>
      <c r="NDG24" s="246"/>
      <c r="NDH24" s="246"/>
      <c r="NDI24" s="246"/>
      <c r="NDJ24" s="246"/>
      <c r="NDK24" s="246"/>
      <c r="NDL24" s="246"/>
      <c r="NDM24" s="246"/>
      <c r="NDN24" s="246"/>
      <c r="NDO24" s="246"/>
      <c r="NDP24" s="246"/>
      <c r="NDQ24" s="246"/>
      <c r="NDR24" s="246"/>
      <c r="NDS24" s="246"/>
      <c r="NDT24" s="246"/>
      <c r="NDU24" s="246"/>
      <c r="NDV24" s="246"/>
      <c r="NDW24" s="246"/>
      <c r="NDX24" s="246"/>
      <c r="NDY24" s="246"/>
      <c r="NDZ24" s="246"/>
      <c r="NEA24" s="246"/>
      <c r="NEB24" s="246"/>
      <c r="NEC24" s="246"/>
      <c r="NED24" s="246"/>
      <c r="NEE24" s="246"/>
      <c r="NEF24" s="246"/>
      <c r="NEG24" s="246"/>
      <c r="NEH24" s="246"/>
      <c r="NEI24" s="246"/>
      <c r="NEJ24" s="246"/>
      <c r="NEK24" s="246"/>
      <c r="NEL24" s="246"/>
      <c r="NEM24" s="246"/>
      <c r="NEN24" s="246"/>
      <c r="NEO24" s="246"/>
      <c r="NEP24" s="246"/>
      <c r="NEQ24" s="246"/>
      <c r="NER24" s="246"/>
      <c r="NES24" s="246"/>
      <c r="NET24" s="246"/>
      <c r="NEU24" s="246"/>
      <c r="NEV24" s="246"/>
      <c r="NEW24" s="246"/>
      <c r="NEX24" s="246"/>
      <c r="NEY24" s="246"/>
      <c r="NEZ24" s="246"/>
      <c r="NFA24" s="246"/>
      <c r="NFB24" s="246"/>
      <c r="NFC24" s="246"/>
      <c r="NFD24" s="246"/>
      <c r="NFE24" s="246"/>
      <c r="NFF24" s="246"/>
      <c r="NFG24" s="246"/>
      <c r="NFH24" s="246"/>
      <c r="NFI24" s="246"/>
      <c r="NFJ24" s="246"/>
      <c r="NFK24" s="246"/>
      <c r="NFL24" s="246"/>
      <c r="NFM24" s="246"/>
      <c r="NFN24" s="246"/>
      <c r="NFO24" s="246"/>
      <c r="NFP24" s="246"/>
      <c r="NFQ24" s="246"/>
      <c r="NFR24" s="246"/>
      <c r="NFS24" s="246"/>
      <c r="NFT24" s="246"/>
      <c r="NFU24" s="246"/>
      <c r="NFV24" s="246"/>
      <c r="NFW24" s="246"/>
      <c r="NFX24" s="246"/>
      <c r="NFY24" s="246"/>
      <c r="NFZ24" s="246"/>
      <c r="NGA24" s="246"/>
      <c r="NGB24" s="246"/>
      <c r="NGC24" s="246"/>
      <c r="NGD24" s="246"/>
      <c r="NGE24" s="246"/>
      <c r="NGF24" s="246"/>
      <c r="NGG24" s="246"/>
      <c r="NGH24" s="246"/>
      <c r="NGI24" s="246"/>
      <c r="NGJ24" s="246"/>
      <c r="NGK24" s="246"/>
      <c r="NGL24" s="246"/>
      <c r="NGM24" s="246"/>
      <c r="NGN24" s="246"/>
      <c r="NGO24" s="246"/>
      <c r="NGP24" s="246"/>
      <c r="NGQ24" s="246"/>
      <c r="NGR24" s="246"/>
      <c r="NGS24" s="246"/>
      <c r="NGT24" s="246"/>
      <c r="NGU24" s="246"/>
      <c r="NGV24" s="246"/>
      <c r="NGW24" s="246"/>
      <c r="NGX24" s="246"/>
      <c r="NGY24" s="246"/>
      <c r="NGZ24" s="246"/>
      <c r="NHA24" s="246"/>
      <c r="NHB24" s="246"/>
      <c r="NHC24" s="246"/>
      <c r="NHD24" s="246"/>
      <c r="NHE24" s="246"/>
      <c r="NHF24" s="246"/>
      <c r="NHG24" s="246"/>
      <c r="NHH24" s="246"/>
      <c r="NHI24" s="246"/>
      <c r="NHJ24" s="246"/>
      <c r="NHK24" s="246"/>
      <c r="NHL24" s="246"/>
      <c r="NHM24" s="246"/>
      <c r="NHN24" s="246"/>
      <c r="NHO24" s="246"/>
      <c r="NHP24" s="246"/>
      <c r="NHQ24" s="246"/>
      <c r="NHR24" s="246"/>
      <c r="NHS24" s="246"/>
      <c r="NHT24" s="246"/>
      <c r="NHU24" s="246"/>
      <c r="NHV24" s="246"/>
      <c r="NHW24" s="246"/>
      <c r="NHX24" s="246"/>
      <c r="NHY24" s="246"/>
      <c r="NHZ24" s="246"/>
      <c r="NIA24" s="246"/>
      <c r="NIB24" s="246"/>
      <c r="NIC24" s="246"/>
      <c r="NID24" s="246"/>
      <c r="NIE24" s="246"/>
      <c r="NIF24" s="246"/>
      <c r="NIG24" s="246"/>
      <c r="NIH24" s="246"/>
      <c r="NII24" s="246"/>
      <c r="NIJ24" s="246"/>
      <c r="NIK24" s="246"/>
      <c r="NIL24" s="246"/>
      <c r="NIM24" s="246"/>
      <c r="NIN24" s="246"/>
      <c r="NIO24" s="246"/>
      <c r="NIP24" s="246"/>
      <c r="NIQ24" s="246"/>
      <c r="NIR24" s="246"/>
      <c r="NIS24" s="246"/>
      <c r="NIT24" s="246"/>
      <c r="NIU24" s="246"/>
      <c r="NIV24" s="246"/>
      <c r="NIW24" s="246"/>
      <c r="NIX24" s="246"/>
      <c r="NIY24" s="246"/>
      <c r="NIZ24" s="246"/>
      <c r="NJA24" s="246"/>
      <c r="NJB24" s="246"/>
      <c r="NJC24" s="246"/>
      <c r="NJD24" s="246"/>
      <c r="NJE24" s="246"/>
      <c r="NJF24" s="246"/>
      <c r="NJG24" s="246"/>
      <c r="NJH24" s="246"/>
      <c r="NJI24" s="246"/>
      <c r="NJJ24" s="246"/>
      <c r="NJK24" s="246"/>
      <c r="NJL24" s="246"/>
      <c r="NJM24" s="246"/>
      <c r="NJN24" s="246"/>
      <c r="NJO24" s="246"/>
      <c r="NJP24" s="246"/>
      <c r="NJQ24" s="246"/>
      <c r="NJR24" s="246"/>
      <c r="NJS24" s="246"/>
      <c r="NJT24" s="246"/>
      <c r="NJU24" s="246"/>
      <c r="NJV24" s="246"/>
      <c r="NJW24" s="246"/>
      <c r="NJX24" s="246"/>
      <c r="NJY24" s="246"/>
      <c r="NJZ24" s="246"/>
      <c r="NKA24" s="246"/>
      <c r="NKB24" s="246"/>
      <c r="NKC24" s="246"/>
      <c r="NKD24" s="246"/>
      <c r="NKE24" s="246"/>
      <c r="NKF24" s="246"/>
      <c r="NKG24" s="246"/>
      <c r="NKH24" s="246"/>
      <c r="NKI24" s="246"/>
      <c r="NKJ24" s="246"/>
      <c r="NKK24" s="246"/>
      <c r="NKL24" s="246"/>
      <c r="NKM24" s="246"/>
      <c r="NKN24" s="246"/>
      <c r="NKO24" s="246"/>
      <c r="NKP24" s="246"/>
      <c r="NKQ24" s="246"/>
      <c r="NKR24" s="246"/>
      <c r="NKS24" s="246"/>
      <c r="NKT24" s="246"/>
      <c r="NKU24" s="246"/>
      <c r="NKV24" s="246"/>
      <c r="NKW24" s="246"/>
      <c r="NKX24" s="246"/>
      <c r="NKY24" s="246"/>
      <c r="NKZ24" s="246"/>
      <c r="NLA24" s="246"/>
      <c r="NLB24" s="246"/>
      <c r="NLC24" s="246"/>
      <c r="NLD24" s="246"/>
      <c r="NLE24" s="246"/>
      <c r="NLF24" s="246"/>
      <c r="NLG24" s="246"/>
      <c r="NLH24" s="246"/>
      <c r="NLI24" s="246"/>
      <c r="NLJ24" s="246"/>
      <c r="NLK24" s="246"/>
      <c r="NLL24" s="246"/>
      <c r="NLM24" s="246"/>
      <c r="NLN24" s="246"/>
      <c r="NLO24" s="246"/>
      <c r="NLP24" s="246"/>
      <c r="NLQ24" s="246"/>
      <c r="NLR24" s="246"/>
      <c r="NLS24" s="246"/>
      <c r="NLT24" s="246"/>
      <c r="NLU24" s="246"/>
      <c r="NLV24" s="246"/>
      <c r="NLW24" s="246"/>
      <c r="NLX24" s="246"/>
      <c r="NLY24" s="246"/>
      <c r="NLZ24" s="246"/>
      <c r="NMA24" s="246"/>
      <c r="NMB24" s="246"/>
      <c r="NMC24" s="246"/>
      <c r="NMD24" s="246"/>
      <c r="NME24" s="246"/>
      <c r="NMF24" s="246"/>
      <c r="NMG24" s="246"/>
      <c r="NMH24" s="246"/>
      <c r="NMI24" s="246"/>
      <c r="NMJ24" s="246"/>
      <c r="NMK24" s="246"/>
      <c r="NML24" s="246"/>
      <c r="NMM24" s="246"/>
      <c r="NMN24" s="246"/>
      <c r="NMO24" s="246"/>
      <c r="NMP24" s="246"/>
      <c r="NMQ24" s="246"/>
      <c r="NMR24" s="246"/>
      <c r="NMS24" s="246"/>
      <c r="NMT24" s="246"/>
      <c r="NMU24" s="246"/>
      <c r="NMV24" s="246"/>
      <c r="NMW24" s="246"/>
      <c r="NMX24" s="246"/>
      <c r="NMY24" s="246"/>
      <c r="NMZ24" s="246"/>
      <c r="NNA24" s="246"/>
      <c r="NNB24" s="246"/>
      <c r="NNC24" s="246"/>
      <c r="NND24" s="246"/>
      <c r="NNE24" s="246"/>
      <c r="NNF24" s="246"/>
      <c r="NNG24" s="246"/>
      <c r="NNH24" s="246"/>
      <c r="NNI24" s="246"/>
      <c r="NNJ24" s="246"/>
      <c r="NNK24" s="246"/>
      <c r="NNL24" s="246"/>
      <c r="NNM24" s="246"/>
      <c r="NNN24" s="246"/>
      <c r="NNO24" s="246"/>
      <c r="NNP24" s="246"/>
      <c r="NNQ24" s="246"/>
      <c r="NNR24" s="246"/>
      <c r="NNS24" s="246"/>
      <c r="NNT24" s="246"/>
      <c r="NNU24" s="246"/>
      <c r="NNV24" s="246"/>
      <c r="NNW24" s="246"/>
      <c r="NNX24" s="246"/>
      <c r="NNY24" s="246"/>
      <c r="NNZ24" s="246"/>
      <c r="NOA24" s="246"/>
      <c r="NOB24" s="246"/>
      <c r="NOC24" s="246"/>
      <c r="NOD24" s="246"/>
      <c r="NOE24" s="246"/>
      <c r="NOF24" s="246"/>
      <c r="NOG24" s="246"/>
      <c r="NOH24" s="246"/>
      <c r="NOI24" s="246"/>
      <c r="NOJ24" s="246"/>
      <c r="NOK24" s="246"/>
      <c r="NOL24" s="246"/>
      <c r="NOM24" s="246"/>
      <c r="NON24" s="246"/>
      <c r="NOO24" s="246"/>
      <c r="NOP24" s="246"/>
      <c r="NOQ24" s="246"/>
      <c r="NOR24" s="246"/>
      <c r="NOS24" s="246"/>
      <c r="NOT24" s="246"/>
      <c r="NOU24" s="246"/>
      <c r="NOV24" s="246"/>
      <c r="NOW24" s="246"/>
      <c r="NOX24" s="246"/>
      <c r="NOY24" s="246"/>
      <c r="NOZ24" s="246"/>
      <c r="NPA24" s="246"/>
      <c r="NPB24" s="246"/>
      <c r="NPC24" s="246"/>
      <c r="NPD24" s="246"/>
      <c r="NPE24" s="246"/>
      <c r="NPF24" s="246"/>
      <c r="NPG24" s="246"/>
      <c r="NPH24" s="246"/>
      <c r="NPI24" s="246"/>
      <c r="NPJ24" s="246"/>
      <c r="NPK24" s="246"/>
      <c r="NPL24" s="246"/>
      <c r="NPM24" s="246"/>
      <c r="NPN24" s="246"/>
      <c r="NPO24" s="246"/>
      <c r="NPP24" s="246"/>
      <c r="NPQ24" s="246"/>
      <c r="NPR24" s="246"/>
      <c r="NPS24" s="246"/>
      <c r="NPT24" s="246"/>
      <c r="NPU24" s="246"/>
      <c r="NPV24" s="246"/>
      <c r="NPW24" s="246"/>
      <c r="NPX24" s="246"/>
      <c r="NPY24" s="246"/>
      <c r="NPZ24" s="246"/>
      <c r="NQA24" s="246"/>
      <c r="NQB24" s="246"/>
      <c r="NQC24" s="246"/>
      <c r="NQD24" s="246"/>
      <c r="NQE24" s="246"/>
      <c r="NQF24" s="246"/>
      <c r="NQG24" s="246"/>
      <c r="NQH24" s="246"/>
      <c r="NQI24" s="246"/>
      <c r="NQJ24" s="246"/>
      <c r="NQK24" s="246"/>
      <c r="NQL24" s="246"/>
      <c r="NQM24" s="246"/>
      <c r="NQN24" s="246"/>
      <c r="NQO24" s="246"/>
      <c r="NQP24" s="246"/>
      <c r="NQQ24" s="246"/>
      <c r="NQR24" s="246"/>
      <c r="NQS24" s="246"/>
      <c r="NQT24" s="246"/>
      <c r="NQU24" s="246"/>
      <c r="NQV24" s="246"/>
      <c r="NQW24" s="246"/>
      <c r="NQX24" s="246"/>
      <c r="NQY24" s="246"/>
      <c r="NQZ24" s="246"/>
      <c r="NRA24" s="246"/>
      <c r="NRB24" s="246"/>
      <c r="NRC24" s="246"/>
      <c r="NRD24" s="246"/>
      <c r="NRE24" s="246"/>
      <c r="NRF24" s="246"/>
      <c r="NRG24" s="246"/>
      <c r="NRH24" s="246"/>
      <c r="NRI24" s="246"/>
      <c r="NRJ24" s="246"/>
      <c r="NRK24" s="246"/>
      <c r="NRL24" s="246"/>
      <c r="NRM24" s="246"/>
      <c r="NRN24" s="246"/>
      <c r="NRO24" s="246"/>
      <c r="NRP24" s="246"/>
      <c r="NRQ24" s="246"/>
      <c r="NRR24" s="246"/>
      <c r="NRS24" s="246"/>
      <c r="NRT24" s="246"/>
      <c r="NRU24" s="246"/>
      <c r="NRV24" s="246"/>
      <c r="NRW24" s="246"/>
      <c r="NRX24" s="246"/>
      <c r="NRY24" s="246"/>
      <c r="NRZ24" s="246"/>
      <c r="NSA24" s="246"/>
      <c r="NSB24" s="246"/>
      <c r="NSC24" s="246"/>
      <c r="NSD24" s="246"/>
      <c r="NSE24" s="246"/>
      <c r="NSF24" s="246"/>
      <c r="NSG24" s="246"/>
      <c r="NSH24" s="246"/>
      <c r="NSI24" s="246"/>
      <c r="NSJ24" s="246"/>
      <c r="NSK24" s="246"/>
      <c r="NSL24" s="246"/>
      <c r="NSM24" s="246"/>
      <c r="NSN24" s="246"/>
      <c r="NSO24" s="246"/>
      <c r="NSP24" s="246"/>
      <c r="NSQ24" s="246"/>
      <c r="NSR24" s="246"/>
      <c r="NSS24" s="246"/>
      <c r="NST24" s="246"/>
      <c r="NSU24" s="246"/>
      <c r="NSV24" s="246"/>
      <c r="NSW24" s="246"/>
      <c r="NSX24" s="246"/>
      <c r="NSY24" s="246"/>
      <c r="NSZ24" s="246"/>
      <c r="NTA24" s="246"/>
      <c r="NTB24" s="246"/>
      <c r="NTC24" s="246"/>
      <c r="NTD24" s="246"/>
      <c r="NTE24" s="246"/>
      <c r="NTF24" s="246"/>
      <c r="NTG24" s="246"/>
      <c r="NTH24" s="246"/>
      <c r="NTI24" s="246"/>
      <c r="NTJ24" s="246"/>
      <c r="NTK24" s="246"/>
      <c r="NTL24" s="246"/>
      <c r="NTM24" s="246"/>
      <c r="NTN24" s="246"/>
      <c r="NTO24" s="246"/>
      <c r="NTP24" s="246"/>
      <c r="NTQ24" s="246"/>
      <c r="NTR24" s="246"/>
      <c r="NTS24" s="246"/>
      <c r="NTT24" s="246"/>
      <c r="NTU24" s="246"/>
      <c r="NTV24" s="246"/>
      <c r="NTW24" s="246"/>
      <c r="NTX24" s="246"/>
      <c r="NTY24" s="246"/>
      <c r="NTZ24" s="246"/>
      <c r="NUA24" s="246"/>
      <c r="NUB24" s="246"/>
      <c r="NUC24" s="246"/>
      <c r="NUD24" s="246"/>
      <c r="NUE24" s="246"/>
      <c r="NUF24" s="246"/>
      <c r="NUG24" s="246"/>
      <c r="NUH24" s="246"/>
      <c r="NUI24" s="246"/>
      <c r="NUJ24" s="246"/>
      <c r="NUK24" s="246"/>
      <c r="NUL24" s="246"/>
      <c r="NUM24" s="246"/>
      <c r="NUN24" s="246"/>
      <c r="NUO24" s="246"/>
      <c r="NUP24" s="246"/>
      <c r="NUQ24" s="246"/>
      <c r="NUR24" s="246"/>
      <c r="NUS24" s="246"/>
      <c r="NUT24" s="246"/>
      <c r="NUU24" s="246"/>
      <c r="NUV24" s="246"/>
      <c r="NUW24" s="246"/>
      <c r="NUX24" s="246"/>
      <c r="NUY24" s="246"/>
      <c r="NUZ24" s="246"/>
      <c r="NVA24" s="246"/>
      <c r="NVB24" s="246"/>
      <c r="NVC24" s="246"/>
      <c r="NVD24" s="246"/>
      <c r="NVE24" s="246"/>
      <c r="NVF24" s="246"/>
      <c r="NVG24" s="246"/>
      <c r="NVH24" s="246"/>
      <c r="NVI24" s="246"/>
      <c r="NVJ24" s="246"/>
      <c r="NVK24" s="246"/>
      <c r="NVL24" s="246"/>
      <c r="NVM24" s="246"/>
      <c r="NVN24" s="246"/>
      <c r="NVO24" s="246"/>
      <c r="NVP24" s="246"/>
      <c r="NVQ24" s="246"/>
      <c r="NVR24" s="246"/>
      <c r="NVS24" s="246"/>
      <c r="NVT24" s="246"/>
      <c r="NVU24" s="246"/>
      <c r="NVV24" s="246"/>
      <c r="NVW24" s="246"/>
      <c r="NVX24" s="246"/>
      <c r="NVY24" s="246"/>
      <c r="NVZ24" s="246"/>
      <c r="NWA24" s="246"/>
      <c r="NWB24" s="246"/>
      <c r="NWC24" s="246"/>
      <c r="NWD24" s="246"/>
      <c r="NWE24" s="246"/>
      <c r="NWF24" s="246"/>
      <c r="NWG24" s="246"/>
      <c r="NWH24" s="246"/>
      <c r="NWI24" s="246"/>
      <c r="NWJ24" s="246"/>
      <c r="NWK24" s="246"/>
      <c r="NWL24" s="246"/>
      <c r="NWM24" s="246"/>
      <c r="NWN24" s="246"/>
      <c r="NWO24" s="246"/>
      <c r="NWP24" s="246"/>
      <c r="NWQ24" s="246"/>
      <c r="NWR24" s="246"/>
      <c r="NWS24" s="246"/>
      <c r="NWT24" s="246"/>
      <c r="NWU24" s="246"/>
      <c r="NWV24" s="246"/>
      <c r="NWW24" s="246"/>
      <c r="NWX24" s="246"/>
      <c r="NWY24" s="246"/>
      <c r="NWZ24" s="246"/>
      <c r="NXA24" s="246"/>
      <c r="NXB24" s="246"/>
      <c r="NXC24" s="246"/>
      <c r="NXD24" s="246"/>
      <c r="NXE24" s="246"/>
      <c r="NXF24" s="246"/>
      <c r="NXG24" s="246"/>
      <c r="NXH24" s="246"/>
      <c r="NXI24" s="246"/>
      <c r="NXJ24" s="246"/>
      <c r="NXK24" s="246"/>
      <c r="NXL24" s="246"/>
      <c r="NXM24" s="246"/>
      <c r="NXN24" s="246"/>
      <c r="NXO24" s="246"/>
      <c r="NXP24" s="246"/>
      <c r="NXQ24" s="246"/>
      <c r="NXR24" s="246"/>
      <c r="NXS24" s="246"/>
      <c r="NXT24" s="246"/>
      <c r="NXU24" s="246"/>
      <c r="NXV24" s="246"/>
      <c r="NXW24" s="246"/>
      <c r="NXX24" s="246"/>
      <c r="NXY24" s="246"/>
      <c r="NXZ24" s="246"/>
      <c r="NYA24" s="246"/>
      <c r="NYB24" s="246"/>
      <c r="NYC24" s="246"/>
      <c r="NYD24" s="246"/>
      <c r="NYE24" s="246"/>
      <c r="NYF24" s="246"/>
      <c r="NYG24" s="246"/>
      <c r="NYH24" s="246"/>
      <c r="NYI24" s="246"/>
      <c r="NYJ24" s="246"/>
      <c r="NYK24" s="246"/>
      <c r="NYL24" s="246"/>
      <c r="NYM24" s="246"/>
      <c r="NYN24" s="246"/>
      <c r="NYO24" s="246"/>
      <c r="NYP24" s="246"/>
      <c r="NYQ24" s="246"/>
      <c r="NYR24" s="246"/>
      <c r="NYS24" s="246"/>
      <c r="NYT24" s="246"/>
      <c r="NYU24" s="246"/>
      <c r="NYV24" s="246"/>
      <c r="NYW24" s="246"/>
      <c r="NYX24" s="246"/>
      <c r="NYY24" s="246"/>
      <c r="NYZ24" s="246"/>
      <c r="NZA24" s="246"/>
      <c r="NZB24" s="246"/>
      <c r="NZC24" s="246"/>
      <c r="NZD24" s="246"/>
      <c r="NZE24" s="246"/>
      <c r="NZF24" s="246"/>
      <c r="NZG24" s="246"/>
      <c r="NZH24" s="246"/>
      <c r="NZI24" s="246"/>
      <c r="NZJ24" s="246"/>
      <c r="NZK24" s="246"/>
      <c r="NZL24" s="246"/>
      <c r="NZM24" s="246"/>
      <c r="NZN24" s="246"/>
      <c r="NZO24" s="246"/>
      <c r="NZP24" s="246"/>
      <c r="NZQ24" s="246"/>
      <c r="NZR24" s="246"/>
      <c r="NZS24" s="246"/>
      <c r="NZT24" s="246"/>
      <c r="NZU24" s="246"/>
      <c r="NZV24" s="246"/>
      <c r="NZW24" s="246"/>
      <c r="NZX24" s="246"/>
      <c r="NZY24" s="246"/>
      <c r="NZZ24" s="246"/>
      <c r="OAA24" s="246"/>
      <c r="OAB24" s="246"/>
      <c r="OAC24" s="246"/>
      <c r="OAD24" s="246"/>
      <c r="OAE24" s="246"/>
      <c r="OAF24" s="246"/>
      <c r="OAG24" s="246"/>
      <c r="OAH24" s="246"/>
      <c r="OAI24" s="246"/>
      <c r="OAJ24" s="246"/>
      <c r="OAK24" s="246"/>
      <c r="OAL24" s="246"/>
      <c r="OAM24" s="246"/>
      <c r="OAN24" s="246"/>
      <c r="OAO24" s="246"/>
      <c r="OAP24" s="246"/>
      <c r="OAQ24" s="246"/>
      <c r="OAR24" s="246"/>
      <c r="OAS24" s="246"/>
      <c r="OAT24" s="246"/>
      <c r="OAU24" s="246"/>
      <c r="OAV24" s="246"/>
      <c r="OAW24" s="246"/>
      <c r="OAX24" s="246"/>
      <c r="OAY24" s="246"/>
      <c r="OAZ24" s="246"/>
      <c r="OBA24" s="246"/>
      <c r="OBB24" s="246"/>
      <c r="OBC24" s="246"/>
      <c r="OBD24" s="246"/>
      <c r="OBE24" s="246"/>
      <c r="OBF24" s="246"/>
      <c r="OBG24" s="246"/>
      <c r="OBH24" s="246"/>
      <c r="OBI24" s="246"/>
      <c r="OBJ24" s="246"/>
      <c r="OBK24" s="246"/>
      <c r="OBL24" s="246"/>
      <c r="OBM24" s="246"/>
      <c r="OBN24" s="246"/>
      <c r="OBO24" s="246"/>
      <c r="OBP24" s="246"/>
      <c r="OBQ24" s="246"/>
      <c r="OBR24" s="246"/>
      <c r="OBS24" s="246"/>
      <c r="OBT24" s="246"/>
      <c r="OBU24" s="246"/>
      <c r="OBV24" s="246"/>
      <c r="OBW24" s="246"/>
      <c r="OBX24" s="246"/>
      <c r="OBY24" s="246"/>
      <c r="OBZ24" s="246"/>
      <c r="OCA24" s="246"/>
      <c r="OCB24" s="246"/>
      <c r="OCC24" s="246"/>
      <c r="OCD24" s="246"/>
      <c r="OCE24" s="246"/>
      <c r="OCF24" s="246"/>
      <c r="OCG24" s="246"/>
      <c r="OCH24" s="246"/>
      <c r="OCI24" s="246"/>
      <c r="OCJ24" s="246"/>
      <c r="OCK24" s="246"/>
      <c r="OCL24" s="246"/>
      <c r="OCM24" s="246"/>
      <c r="OCN24" s="246"/>
      <c r="OCO24" s="246"/>
      <c r="OCP24" s="246"/>
      <c r="OCQ24" s="246"/>
      <c r="OCR24" s="246"/>
      <c r="OCS24" s="246"/>
      <c r="OCT24" s="246"/>
      <c r="OCU24" s="246"/>
      <c r="OCV24" s="246"/>
      <c r="OCW24" s="246"/>
      <c r="OCX24" s="246"/>
      <c r="OCY24" s="246"/>
      <c r="OCZ24" s="246"/>
      <c r="ODA24" s="246"/>
      <c r="ODB24" s="246"/>
      <c r="ODC24" s="246"/>
      <c r="ODD24" s="246"/>
      <c r="ODE24" s="246"/>
      <c r="ODF24" s="246"/>
      <c r="ODG24" s="246"/>
      <c r="ODH24" s="246"/>
      <c r="ODI24" s="246"/>
      <c r="ODJ24" s="246"/>
      <c r="ODK24" s="246"/>
      <c r="ODL24" s="246"/>
      <c r="ODM24" s="246"/>
      <c r="ODN24" s="246"/>
      <c r="ODO24" s="246"/>
      <c r="ODP24" s="246"/>
      <c r="ODQ24" s="246"/>
      <c r="ODR24" s="246"/>
      <c r="ODS24" s="246"/>
      <c r="ODT24" s="246"/>
      <c r="ODU24" s="246"/>
      <c r="ODV24" s="246"/>
      <c r="ODW24" s="246"/>
      <c r="ODX24" s="246"/>
      <c r="ODY24" s="246"/>
      <c r="ODZ24" s="246"/>
      <c r="OEA24" s="246"/>
      <c r="OEB24" s="246"/>
      <c r="OEC24" s="246"/>
      <c r="OED24" s="246"/>
      <c r="OEE24" s="246"/>
      <c r="OEF24" s="246"/>
      <c r="OEG24" s="246"/>
      <c r="OEH24" s="246"/>
      <c r="OEI24" s="246"/>
      <c r="OEJ24" s="246"/>
      <c r="OEK24" s="246"/>
      <c r="OEL24" s="246"/>
      <c r="OEM24" s="246"/>
      <c r="OEN24" s="246"/>
      <c r="OEO24" s="246"/>
      <c r="OEP24" s="246"/>
      <c r="OEQ24" s="246"/>
      <c r="OER24" s="246"/>
      <c r="OES24" s="246"/>
      <c r="OET24" s="246"/>
      <c r="OEU24" s="246"/>
      <c r="OEV24" s="246"/>
      <c r="OEW24" s="246"/>
      <c r="OEX24" s="246"/>
      <c r="OEY24" s="246"/>
      <c r="OEZ24" s="246"/>
      <c r="OFA24" s="246"/>
      <c r="OFB24" s="246"/>
      <c r="OFC24" s="246"/>
      <c r="OFD24" s="246"/>
      <c r="OFE24" s="246"/>
      <c r="OFF24" s="246"/>
      <c r="OFG24" s="246"/>
      <c r="OFH24" s="246"/>
      <c r="OFI24" s="246"/>
      <c r="OFJ24" s="246"/>
      <c r="OFK24" s="246"/>
      <c r="OFL24" s="246"/>
      <c r="OFM24" s="246"/>
      <c r="OFN24" s="246"/>
      <c r="OFO24" s="246"/>
      <c r="OFP24" s="246"/>
      <c r="OFQ24" s="246"/>
      <c r="OFR24" s="246"/>
      <c r="OFS24" s="246"/>
      <c r="OFT24" s="246"/>
      <c r="OFU24" s="246"/>
      <c r="OFV24" s="246"/>
      <c r="OFW24" s="246"/>
      <c r="OFX24" s="246"/>
      <c r="OFY24" s="246"/>
      <c r="OFZ24" s="246"/>
      <c r="OGA24" s="246"/>
      <c r="OGB24" s="246"/>
      <c r="OGC24" s="246"/>
      <c r="OGD24" s="246"/>
      <c r="OGE24" s="246"/>
      <c r="OGF24" s="246"/>
      <c r="OGG24" s="246"/>
      <c r="OGH24" s="246"/>
      <c r="OGI24" s="246"/>
      <c r="OGJ24" s="246"/>
      <c r="OGK24" s="246"/>
      <c r="OGL24" s="246"/>
      <c r="OGM24" s="246"/>
      <c r="OGN24" s="246"/>
      <c r="OGO24" s="246"/>
      <c r="OGP24" s="246"/>
      <c r="OGQ24" s="246"/>
      <c r="OGR24" s="246"/>
      <c r="OGS24" s="246"/>
      <c r="OGT24" s="246"/>
      <c r="OGU24" s="246"/>
      <c r="OGV24" s="246"/>
      <c r="OGW24" s="246"/>
      <c r="OGX24" s="246"/>
      <c r="OGY24" s="246"/>
      <c r="OGZ24" s="246"/>
      <c r="OHA24" s="246"/>
      <c r="OHB24" s="246"/>
      <c r="OHC24" s="246"/>
      <c r="OHD24" s="246"/>
      <c r="OHE24" s="246"/>
      <c r="OHF24" s="246"/>
      <c r="OHG24" s="246"/>
      <c r="OHH24" s="246"/>
      <c r="OHI24" s="246"/>
      <c r="OHJ24" s="246"/>
      <c r="OHK24" s="246"/>
      <c r="OHL24" s="246"/>
      <c r="OHM24" s="246"/>
      <c r="OHN24" s="246"/>
      <c r="OHO24" s="246"/>
      <c r="OHP24" s="246"/>
      <c r="OHQ24" s="246"/>
      <c r="OHR24" s="246"/>
      <c r="OHS24" s="246"/>
      <c r="OHT24" s="246"/>
      <c r="OHU24" s="246"/>
      <c r="OHV24" s="246"/>
      <c r="OHW24" s="246"/>
      <c r="OHX24" s="246"/>
      <c r="OHY24" s="246"/>
      <c r="OHZ24" s="246"/>
      <c r="OIA24" s="246"/>
      <c r="OIB24" s="246"/>
      <c r="OIC24" s="246"/>
      <c r="OID24" s="246"/>
      <c r="OIE24" s="246"/>
      <c r="OIF24" s="246"/>
      <c r="OIG24" s="246"/>
      <c r="OIH24" s="246"/>
      <c r="OII24" s="246"/>
      <c r="OIJ24" s="246"/>
      <c r="OIK24" s="246"/>
      <c r="OIL24" s="246"/>
      <c r="OIM24" s="246"/>
      <c r="OIN24" s="246"/>
      <c r="OIO24" s="246"/>
      <c r="OIP24" s="246"/>
      <c r="OIQ24" s="246"/>
      <c r="OIR24" s="246"/>
      <c r="OIS24" s="246"/>
      <c r="OIT24" s="246"/>
      <c r="OIU24" s="246"/>
      <c r="OIV24" s="246"/>
      <c r="OIW24" s="246"/>
      <c r="OIX24" s="246"/>
      <c r="OIY24" s="246"/>
      <c r="OIZ24" s="246"/>
      <c r="OJA24" s="246"/>
      <c r="OJB24" s="246"/>
      <c r="OJC24" s="246"/>
      <c r="OJD24" s="246"/>
      <c r="OJE24" s="246"/>
      <c r="OJF24" s="246"/>
      <c r="OJG24" s="246"/>
      <c r="OJH24" s="246"/>
      <c r="OJI24" s="246"/>
      <c r="OJJ24" s="246"/>
      <c r="OJK24" s="246"/>
      <c r="OJL24" s="246"/>
      <c r="OJM24" s="246"/>
      <c r="OJN24" s="246"/>
      <c r="OJO24" s="246"/>
      <c r="OJP24" s="246"/>
      <c r="OJQ24" s="246"/>
      <c r="OJR24" s="246"/>
      <c r="OJS24" s="246"/>
      <c r="OJT24" s="246"/>
      <c r="OJU24" s="246"/>
      <c r="OJV24" s="246"/>
      <c r="OJW24" s="246"/>
      <c r="OJX24" s="246"/>
      <c r="OJY24" s="246"/>
      <c r="OJZ24" s="246"/>
      <c r="OKA24" s="246"/>
      <c r="OKB24" s="246"/>
      <c r="OKC24" s="246"/>
      <c r="OKD24" s="246"/>
      <c r="OKE24" s="246"/>
      <c r="OKF24" s="246"/>
      <c r="OKG24" s="246"/>
      <c r="OKH24" s="246"/>
      <c r="OKI24" s="246"/>
      <c r="OKJ24" s="246"/>
      <c r="OKK24" s="246"/>
      <c r="OKL24" s="246"/>
      <c r="OKM24" s="246"/>
      <c r="OKN24" s="246"/>
      <c r="OKO24" s="246"/>
      <c r="OKP24" s="246"/>
      <c r="OKQ24" s="246"/>
      <c r="OKR24" s="246"/>
      <c r="OKS24" s="246"/>
      <c r="OKT24" s="246"/>
      <c r="OKU24" s="246"/>
      <c r="OKV24" s="246"/>
      <c r="OKW24" s="246"/>
      <c r="OKX24" s="246"/>
      <c r="OKY24" s="246"/>
      <c r="OKZ24" s="246"/>
      <c r="OLA24" s="246"/>
      <c r="OLB24" s="246"/>
      <c r="OLC24" s="246"/>
      <c r="OLD24" s="246"/>
      <c r="OLE24" s="246"/>
      <c r="OLF24" s="246"/>
      <c r="OLG24" s="246"/>
      <c r="OLH24" s="246"/>
      <c r="OLI24" s="246"/>
      <c r="OLJ24" s="246"/>
      <c r="OLK24" s="246"/>
      <c r="OLL24" s="246"/>
      <c r="OLM24" s="246"/>
      <c r="OLN24" s="246"/>
      <c r="OLO24" s="246"/>
      <c r="OLP24" s="246"/>
      <c r="OLQ24" s="246"/>
      <c r="OLR24" s="246"/>
      <c r="OLS24" s="246"/>
      <c r="OLT24" s="246"/>
      <c r="OLU24" s="246"/>
      <c r="OLV24" s="246"/>
      <c r="OLW24" s="246"/>
      <c r="OLX24" s="246"/>
      <c r="OLY24" s="246"/>
      <c r="OLZ24" s="246"/>
      <c r="OMA24" s="246"/>
      <c r="OMB24" s="246"/>
      <c r="OMC24" s="246"/>
      <c r="OMD24" s="246"/>
      <c r="OME24" s="246"/>
      <c r="OMF24" s="246"/>
      <c r="OMG24" s="246"/>
      <c r="OMH24" s="246"/>
      <c r="OMI24" s="246"/>
      <c r="OMJ24" s="246"/>
      <c r="OMK24" s="246"/>
      <c r="OML24" s="246"/>
      <c r="OMM24" s="246"/>
      <c r="OMN24" s="246"/>
      <c r="OMO24" s="246"/>
      <c r="OMP24" s="246"/>
      <c r="OMQ24" s="246"/>
      <c r="OMR24" s="246"/>
      <c r="OMS24" s="246"/>
      <c r="OMT24" s="246"/>
      <c r="OMU24" s="246"/>
      <c r="OMV24" s="246"/>
      <c r="OMW24" s="246"/>
      <c r="OMX24" s="246"/>
      <c r="OMY24" s="246"/>
      <c r="OMZ24" s="246"/>
      <c r="ONA24" s="246"/>
      <c r="ONB24" s="246"/>
      <c r="ONC24" s="246"/>
      <c r="OND24" s="246"/>
      <c r="ONE24" s="246"/>
      <c r="ONF24" s="246"/>
      <c r="ONG24" s="246"/>
      <c r="ONH24" s="246"/>
      <c r="ONI24" s="246"/>
      <c r="ONJ24" s="246"/>
      <c r="ONK24" s="246"/>
      <c r="ONL24" s="246"/>
      <c r="ONM24" s="246"/>
      <c r="ONN24" s="246"/>
      <c r="ONO24" s="246"/>
      <c r="ONP24" s="246"/>
      <c r="ONQ24" s="246"/>
      <c r="ONR24" s="246"/>
      <c r="ONS24" s="246"/>
      <c r="ONT24" s="246"/>
      <c r="ONU24" s="246"/>
      <c r="ONV24" s="246"/>
      <c r="ONW24" s="246"/>
      <c r="ONX24" s="246"/>
      <c r="ONY24" s="246"/>
      <c r="ONZ24" s="246"/>
      <c r="OOA24" s="246"/>
      <c r="OOB24" s="246"/>
      <c r="OOC24" s="246"/>
      <c r="OOD24" s="246"/>
      <c r="OOE24" s="246"/>
      <c r="OOF24" s="246"/>
      <c r="OOG24" s="246"/>
      <c r="OOH24" s="246"/>
      <c r="OOI24" s="246"/>
      <c r="OOJ24" s="246"/>
      <c r="OOK24" s="246"/>
      <c r="OOL24" s="246"/>
      <c r="OOM24" s="246"/>
      <c r="OON24" s="246"/>
      <c r="OOO24" s="246"/>
      <c r="OOP24" s="246"/>
      <c r="OOQ24" s="246"/>
      <c r="OOR24" s="246"/>
      <c r="OOS24" s="246"/>
      <c r="OOT24" s="246"/>
      <c r="OOU24" s="246"/>
      <c r="OOV24" s="246"/>
      <c r="OOW24" s="246"/>
      <c r="OOX24" s="246"/>
      <c r="OOY24" s="246"/>
      <c r="OOZ24" s="246"/>
      <c r="OPA24" s="246"/>
      <c r="OPB24" s="246"/>
      <c r="OPC24" s="246"/>
      <c r="OPD24" s="246"/>
      <c r="OPE24" s="246"/>
      <c r="OPF24" s="246"/>
      <c r="OPG24" s="246"/>
      <c r="OPH24" s="246"/>
      <c r="OPI24" s="246"/>
      <c r="OPJ24" s="246"/>
      <c r="OPK24" s="246"/>
      <c r="OPL24" s="246"/>
      <c r="OPM24" s="246"/>
      <c r="OPN24" s="246"/>
      <c r="OPO24" s="246"/>
      <c r="OPP24" s="246"/>
      <c r="OPQ24" s="246"/>
      <c r="OPR24" s="246"/>
      <c r="OPS24" s="246"/>
      <c r="OPT24" s="246"/>
      <c r="OPU24" s="246"/>
      <c r="OPV24" s="246"/>
      <c r="OPW24" s="246"/>
      <c r="OPX24" s="246"/>
      <c r="OPY24" s="246"/>
      <c r="OPZ24" s="246"/>
      <c r="OQA24" s="246"/>
      <c r="OQB24" s="246"/>
      <c r="OQC24" s="246"/>
      <c r="OQD24" s="246"/>
      <c r="OQE24" s="246"/>
      <c r="OQF24" s="246"/>
      <c r="OQG24" s="246"/>
      <c r="OQH24" s="246"/>
      <c r="OQI24" s="246"/>
      <c r="OQJ24" s="246"/>
      <c r="OQK24" s="246"/>
      <c r="OQL24" s="246"/>
      <c r="OQM24" s="246"/>
      <c r="OQN24" s="246"/>
      <c r="OQO24" s="246"/>
      <c r="OQP24" s="246"/>
      <c r="OQQ24" s="246"/>
      <c r="OQR24" s="246"/>
      <c r="OQS24" s="246"/>
      <c r="OQT24" s="246"/>
      <c r="OQU24" s="246"/>
      <c r="OQV24" s="246"/>
      <c r="OQW24" s="246"/>
      <c r="OQX24" s="246"/>
      <c r="OQY24" s="246"/>
      <c r="OQZ24" s="246"/>
      <c r="ORA24" s="246"/>
      <c r="ORB24" s="246"/>
      <c r="ORC24" s="246"/>
      <c r="ORD24" s="246"/>
      <c r="ORE24" s="246"/>
      <c r="ORF24" s="246"/>
      <c r="ORG24" s="246"/>
      <c r="ORH24" s="246"/>
      <c r="ORI24" s="246"/>
      <c r="ORJ24" s="246"/>
      <c r="ORK24" s="246"/>
      <c r="ORL24" s="246"/>
      <c r="ORM24" s="246"/>
      <c r="ORN24" s="246"/>
      <c r="ORO24" s="246"/>
      <c r="ORP24" s="246"/>
      <c r="ORQ24" s="246"/>
      <c r="ORR24" s="246"/>
      <c r="ORS24" s="246"/>
      <c r="ORT24" s="246"/>
      <c r="ORU24" s="246"/>
      <c r="ORV24" s="246"/>
      <c r="ORW24" s="246"/>
      <c r="ORX24" s="246"/>
      <c r="ORY24" s="246"/>
      <c r="ORZ24" s="246"/>
      <c r="OSA24" s="246"/>
      <c r="OSB24" s="246"/>
      <c r="OSC24" s="246"/>
      <c r="OSD24" s="246"/>
      <c r="OSE24" s="246"/>
      <c r="OSF24" s="246"/>
      <c r="OSG24" s="246"/>
      <c r="OSH24" s="246"/>
      <c r="OSI24" s="246"/>
      <c r="OSJ24" s="246"/>
      <c r="OSK24" s="246"/>
      <c r="OSL24" s="246"/>
      <c r="OSM24" s="246"/>
      <c r="OSN24" s="246"/>
      <c r="OSO24" s="246"/>
      <c r="OSP24" s="246"/>
      <c r="OSQ24" s="246"/>
      <c r="OSR24" s="246"/>
      <c r="OSS24" s="246"/>
      <c r="OST24" s="246"/>
      <c r="OSU24" s="246"/>
      <c r="OSV24" s="246"/>
      <c r="OSW24" s="246"/>
      <c r="OSX24" s="246"/>
      <c r="OSY24" s="246"/>
      <c r="OSZ24" s="246"/>
      <c r="OTA24" s="246"/>
      <c r="OTB24" s="246"/>
      <c r="OTC24" s="246"/>
      <c r="OTD24" s="246"/>
      <c r="OTE24" s="246"/>
      <c r="OTF24" s="246"/>
      <c r="OTG24" s="246"/>
      <c r="OTH24" s="246"/>
      <c r="OTI24" s="246"/>
      <c r="OTJ24" s="246"/>
      <c r="OTK24" s="246"/>
      <c r="OTL24" s="246"/>
      <c r="OTM24" s="246"/>
      <c r="OTN24" s="246"/>
      <c r="OTO24" s="246"/>
      <c r="OTP24" s="246"/>
      <c r="OTQ24" s="246"/>
      <c r="OTR24" s="246"/>
      <c r="OTS24" s="246"/>
      <c r="OTT24" s="246"/>
      <c r="OTU24" s="246"/>
      <c r="OTV24" s="246"/>
      <c r="OTW24" s="246"/>
      <c r="OTX24" s="246"/>
      <c r="OTY24" s="246"/>
      <c r="OTZ24" s="246"/>
      <c r="OUA24" s="246"/>
      <c r="OUB24" s="246"/>
      <c r="OUC24" s="246"/>
      <c r="OUD24" s="246"/>
      <c r="OUE24" s="246"/>
      <c r="OUF24" s="246"/>
      <c r="OUG24" s="246"/>
      <c r="OUH24" s="246"/>
      <c r="OUI24" s="246"/>
      <c r="OUJ24" s="246"/>
      <c r="OUK24" s="246"/>
      <c r="OUL24" s="246"/>
      <c r="OUM24" s="246"/>
      <c r="OUN24" s="246"/>
      <c r="OUO24" s="246"/>
      <c r="OUP24" s="246"/>
      <c r="OUQ24" s="246"/>
      <c r="OUR24" s="246"/>
      <c r="OUS24" s="246"/>
      <c r="OUT24" s="246"/>
      <c r="OUU24" s="246"/>
      <c r="OUV24" s="246"/>
      <c r="OUW24" s="246"/>
      <c r="OUX24" s="246"/>
      <c r="OUY24" s="246"/>
      <c r="OUZ24" s="246"/>
      <c r="OVA24" s="246"/>
      <c r="OVB24" s="246"/>
      <c r="OVC24" s="246"/>
      <c r="OVD24" s="246"/>
      <c r="OVE24" s="246"/>
      <c r="OVF24" s="246"/>
      <c r="OVG24" s="246"/>
      <c r="OVH24" s="246"/>
      <c r="OVI24" s="246"/>
      <c r="OVJ24" s="246"/>
      <c r="OVK24" s="246"/>
      <c r="OVL24" s="246"/>
      <c r="OVM24" s="246"/>
      <c r="OVN24" s="246"/>
      <c r="OVO24" s="246"/>
      <c r="OVP24" s="246"/>
      <c r="OVQ24" s="246"/>
      <c r="OVR24" s="246"/>
      <c r="OVS24" s="246"/>
      <c r="OVT24" s="246"/>
      <c r="OVU24" s="246"/>
      <c r="OVV24" s="246"/>
      <c r="OVW24" s="246"/>
      <c r="OVX24" s="246"/>
      <c r="OVY24" s="246"/>
      <c r="OVZ24" s="246"/>
      <c r="OWA24" s="246"/>
      <c r="OWB24" s="246"/>
      <c r="OWC24" s="246"/>
      <c r="OWD24" s="246"/>
      <c r="OWE24" s="246"/>
      <c r="OWF24" s="246"/>
      <c r="OWG24" s="246"/>
      <c r="OWH24" s="246"/>
      <c r="OWI24" s="246"/>
      <c r="OWJ24" s="246"/>
      <c r="OWK24" s="246"/>
      <c r="OWL24" s="246"/>
      <c r="OWM24" s="246"/>
      <c r="OWN24" s="246"/>
      <c r="OWO24" s="246"/>
      <c r="OWP24" s="246"/>
      <c r="OWQ24" s="246"/>
      <c r="OWR24" s="246"/>
      <c r="OWS24" s="246"/>
      <c r="OWT24" s="246"/>
      <c r="OWU24" s="246"/>
      <c r="OWV24" s="246"/>
      <c r="OWW24" s="246"/>
      <c r="OWX24" s="246"/>
      <c r="OWY24" s="246"/>
      <c r="OWZ24" s="246"/>
      <c r="OXA24" s="246"/>
      <c r="OXB24" s="246"/>
      <c r="OXC24" s="246"/>
      <c r="OXD24" s="246"/>
      <c r="OXE24" s="246"/>
      <c r="OXF24" s="246"/>
      <c r="OXG24" s="246"/>
      <c r="OXH24" s="246"/>
      <c r="OXI24" s="246"/>
      <c r="OXJ24" s="246"/>
      <c r="OXK24" s="246"/>
      <c r="OXL24" s="246"/>
      <c r="OXM24" s="246"/>
      <c r="OXN24" s="246"/>
      <c r="OXO24" s="246"/>
      <c r="OXP24" s="246"/>
      <c r="OXQ24" s="246"/>
      <c r="OXR24" s="246"/>
      <c r="OXS24" s="246"/>
      <c r="OXT24" s="246"/>
      <c r="OXU24" s="246"/>
      <c r="OXV24" s="246"/>
      <c r="OXW24" s="246"/>
      <c r="OXX24" s="246"/>
      <c r="OXY24" s="246"/>
      <c r="OXZ24" s="246"/>
      <c r="OYA24" s="246"/>
      <c r="OYB24" s="246"/>
      <c r="OYC24" s="246"/>
      <c r="OYD24" s="246"/>
      <c r="OYE24" s="246"/>
      <c r="OYF24" s="246"/>
      <c r="OYG24" s="246"/>
      <c r="OYH24" s="246"/>
      <c r="OYI24" s="246"/>
      <c r="OYJ24" s="246"/>
      <c r="OYK24" s="246"/>
      <c r="OYL24" s="246"/>
      <c r="OYM24" s="246"/>
      <c r="OYN24" s="246"/>
      <c r="OYO24" s="246"/>
      <c r="OYP24" s="246"/>
      <c r="OYQ24" s="246"/>
      <c r="OYR24" s="246"/>
      <c r="OYS24" s="246"/>
      <c r="OYT24" s="246"/>
      <c r="OYU24" s="246"/>
      <c r="OYV24" s="246"/>
      <c r="OYW24" s="246"/>
      <c r="OYX24" s="246"/>
      <c r="OYY24" s="246"/>
      <c r="OYZ24" s="246"/>
      <c r="OZA24" s="246"/>
      <c r="OZB24" s="246"/>
      <c r="OZC24" s="246"/>
      <c r="OZD24" s="246"/>
      <c r="OZE24" s="246"/>
      <c r="OZF24" s="246"/>
      <c r="OZG24" s="246"/>
      <c r="OZH24" s="246"/>
      <c r="OZI24" s="246"/>
      <c r="OZJ24" s="246"/>
      <c r="OZK24" s="246"/>
      <c r="OZL24" s="246"/>
      <c r="OZM24" s="246"/>
      <c r="OZN24" s="246"/>
      <c r="OZO24" s="246"/>
      <c r="OZP24" s="246"/>
      <c r="OZQ24" s="246"/>
      <c r="OZR24" s="246"/>
      <c r="OZS24" s="246"/>
      <c r="OZT24" s="246"/>
      <c r="OZU24" s="246"/>
      <c r="OZV24" s="246"/>
      <c r="OZW24" s="246"/>
      <c r="OZX24" s="246"/>
      <c r="OZY24" s="246"/>
      <c r="OZZ24" s="246"/>
      <c r="PAA24" s="246"/>
      <c r="PAB24" s="246"/>
      <c r="PAC24" s="246"/>
      <c r="PAD24" s="246"/>
      <c r="PAE24" s="246"/>
      <c r="PAF24" s="246"/>
      <c r="PAG24" s="246"/>
      <c r="PAH24" s="246"/>
      <c r="PAI24" s="246"/>
      <c r="PAJ24" s="246"/>
      <c r="PAK24" s="246"/>
      <c r="PAL24" s="246"/>
      <c r="PAM24" s="246"/>
      <c r="PAN24" s="246"/>
      <c r="PAO24" s="246"/>
      <c r="PAP24" s="246"/>
      <c r="PAQ24" s="246"/>
      <c r="PAR24" s="246"/>
      <c r="PAS24" s="246"/>
      <c r="PAT24" s="246"/>
      <c r="PAU24" s="246"/>
      <c r="PAV24" s="246"/>
      <c r="PAW24" s="246"/>
      <c r="PAX24" s="246"/>
      <c r="PAY24" s="246"/>
      <c r="PAZ24" s="246"/>
      <c r="PBA24" s="246"/>
      <c r="PBB24" s="246"/>
      <c r="PBC24" s="246"/>
      <c r="PBD24" s="246"/>
      <c r="PBE24" s="246"/>
      <c r="PBF24" s="246"/>
      <c r="PBG24" s="246"/>
      <c r="PBH24" s="246"/>
      <c r="PBI24" s="246"/>
      <c r="PBJ24" s="246"/>
      <c r="PBK24" s="246"/>
      <c r="PBL24" s="246"/>
      <c r="PBM24" s="246"/>
      <c r="PBN24" s="246"/>
      <c r="PBO24" s="246"/>
      <c r="PBP24" s="246"/>
      <c r="PBQ24" s="246"/>
      <c r="PBR24" s="246"/>
      <c r="PBS24" s="246"/>
      <c r="PBT24" s="246"/>
      <c r="PBU24" s="246"/>
      <c r="PBV24" s="246"/>
      <c r="PBW24" s="246"/>
      <c r="PBX24" s="246"/>
      <c r="PBY24" s="246"/>
      <c r="PBZ24" s="246"/>
      <c r="PCA24" s="246"/>
      <c r="PCB24" s="246"/>
      <c r="PCC24" s="246"/>
      <c r="PCD24" s="246"/>
      <c r="PCE24" s="246"/>
      <c r="PCF24" s="246"/>
      <c r="PCG24" s="246"/>
      <c r="PCH24" s="246"/>
      <c r="PCI24" s="246"/>
      <c r="PCJ24" s="246"/>
      <c r="PCK24" s="246"/>
      <c r="PCL24" s="246"/>
      <c r="PCM24" s="246"/>
      <c r="PCN24" s="246"/>
      <c r="PCO24" s="246"/>
      <c r="PCP24" s="246"/>
      <c r="PCQ24" s="246"/>
      <c r="PCR24" s="246"/>
      <c r="PCS24" s="246"/>
      <c r="PCT24" s="246"/>
      <c r="PCU24" s="246"/>
      <c r="PCV24" s="246"/>
      <c r="PCW24" s="246"/>
      <c r="PCX24" s="246"/>
      <c r="PCY24" s="246"/>
      <c r="PCZ24" s="246"/>
      <c r="PDA24" s="246"/>
      <c r="PDB24" s="246"/>
      <c r="PDC24" s="246"/>
      <c r="PDD24" s="246"/>
      <c r="PDE24" s="246"/>
      <c r="PDF24" s="246"/>
      <c r="PDG24" s="246"/>
      <c r="PDH24" s="246"/>
      <c r="PDI24" s="246"/>
      <c r="PDJ24" s="246"/>
      <c r="PDK24" s="246"/>
      <c r="PDL24" s="246"/>
      <c r="PDM24" s="246"/>
      <c r="PDN24" s="246"/>
      <c r="PDO24" s="246"/>
      <c r="PDP24" s="246"/>
      <c r="PDQ24" s="246"/>
      <c r="PDR24" s="246"/>
      <c r="PDS24" s="246"/>
      <c r="PDT24" s="246"/>
      <c r="PDU24" s="246"/>
      <c r="PDV24" s="246"/>
      <c r="PDW24" s="246"/>
      <c r="PDX24" s="246"/>
      <c r="PDY24" s="246"/>
      <c r="PDZ24" s="246"/>
      <c r="PEA24" s="246"/>
      <c r="PEB24" s="246"/>
      <c r="PEC24" s="246"/>
      <c r="PED24" s="246"/>
      <c r="PEE24" s="246"/>
      <c r="PEF24" s="246"/>
      <c r="PEG24" s="246"/>
      <c r="PEH24" s="246"/>
      <c r="PEI24" s="246"/>
      <c r="PEJ24" s="246"/>
      <c r="PEK24" s="246"/>
      <c r="PEL24" s="246"/>
      <c r="PEM24" s="246"/>
      <c r="PEN24" s="246"/>
      <c r="PEO24" s="246"/>
      <c r="PEP24" s="246"/>
      <c r="PEQ24" s="246"/>
      <c r="PER24" s="246"/>
      <c r="PES24" s="246"/>
      <c r="PET24" s="246"/>
      <c r="PEU24" s="246"/>
      <c r="PEV24" s="246"/>
      <c r="PEW24" s="246"/>
      <c r="PEX24" s="246"/>
      <c r="PEY24" s="246"/>
      <c r="PEZ24" s="246"/>
      <c r="PFA24" s="246"/>
      <c r="PFB24" s="246"/>
      <c r="PFC24" s="246"/>
      <c r="PFD24" s="246"/>
      <c r="PFE24" s="246"/>
      <c r="PFF24" s="246"/>
      <c r="PFG24" s="246"/>
      <c r="PFH24" s="246"/>
      <c r="PFI24" s="246"/>
      <c r="PFJ24" s="246"/>
      <c r="PFK24" s="246"/>
      <c r="PFL24" s="246"/>
      <c r="PFM24" s="246"/>
      <c r="PFN24" s="246"/>
      <c r="PFO24" s="246"/>
      <c r="PFP24" s="246"/>
      <c r="PFQ24" s="246"/>
      <c r="PFR24" s="246"/>
      <c r="PFS24" s="246"/>
      <c r="PFT24" s="246"/>
      <c r="PFU24" s="246"/>
      <c r="PFV24" s="246"/>
      <c r="PFW24" s="246"/>
      <c r="PFX24" s="246"/>
      <c r="PFY24" s="246"/>
      <c r="PFZ24" s="246"/>
      <c r="PGA24" s="246"/>
      <c r="PGB24" s="246"/>
      <c r="PGC24" s="246"/>
      <c r="PGD24" s="246"/>
      <c r="PGE24" s="246"/>
      <c r="PGF24" s="246"/>
      <c r="PGG24" s="246"/>
      <c r="PGH24" s="246"/>
      <c r="PGI24" s="246"/>
      <c r="PGJ24" s="246"/>
      <c r="PGK24" s="246"/>
      <c r="PGL24" s="246"/>
      <c r="PGM24" s="246"/>
      <c r="PGN24" s="246"/>
      <c r="PGO24" s="246"/>
      <c r="PGP24" s="246"/>
      <c r="PGQ24" s="246"/>
      <c r="PGR24" s="246"/>
      <c r="PGS24" s="246"/>
      <c r="PGT24" s="246"/>
      <c r="PGU24" s="246"/>
      <c r="PGV24" s="246"/>
      <c r="PGW24" s="246"/>
      <c r="PGX24" s="246"/>
      <c r="PGY24" s="246"/>
      <c r="PGZ24" s="246"/>
      <c r="PHA24" s="246"/>
      <c r="PHB24" s="246"/>
      <c r="PHC24" s="246"/>
      <c r="PHD24" s="246"/>
      <c r="PHE24" s="246"/>
      <c r="PHF24" s="246"/>
      <c r="PHG24" s="246"/>
      <c r="PHH24" s="246"/>
      <c r="PHI24" s="246"/>
      <c r="PHJ24" s="246"/>
      <c r="PHK24" s="246"/>
      <c r="PHL24" s="246"/>
      <c r="PHM24" s="246"/>
      <c r="PHN24" s="246"/>
      <c r="PHO24" s="246"/>
      <c r="PHP24" s="246"/>
      <c r="PHQ24" s="246"/>
      <c r="PHR24" s="246"/>
      <c r="PHS24" s="246"/>
      <c r="PHT24" s="246"/>
      <c r="PHU24" s="246"/>
      <c r="PHV24" s="246"/>
      <c r="PHW24" s="246"/>
      <c r="PHX24" s="246"/>
      <c r="PHY24" s="246"/>
      <c r="PHZ24" s="246"/>
      <c r="PIA24" s="246"/>
      <c r="PIB24" s="246"/>
      <c r="PIC24" s="246"/>
      <c r="PID24" s="246"/>
      <c r="PIE24" s="246"/>
      <c r="PIF24" s="246"/>
      <c r="PIG24" s="246"/>
      <c r="PIH24" s="246"/>
      <c r="PII24" s="246"/>
      <c r="PIJ24" s="246"/>
      <c r="PIK24" s="246"/>
      <c r="PIL24" s="246"/>
      <c r="PIM24" s="246"/>
      <c r="PIN24" s="246"/>
      <c r="PIO24" s="246"/>
      <c r="PIP24" s="246"/>
      <c r="PIQ24" s="246"/>
      <c r="PIR24" s="246"/>
      <c r="PIS24" s="246"/>
      <c r="PIT24" s="246"/>
      <c r="PIU24" s="246"/>
      <c r="PIV24" s="246"/>
      <c r="PIW24" s="246"/>
      <c r="PIX24" s="246"/>
      <c r="PIY24" s="246"/>
      <c r="PIZ24" s="246"/>
      <c r="PJA24" s="246"/>
      <c r="PJB24" s="246"/>
      <c r="PJC24" s="246"/>
      <c r="PJD24" s="246"/>
      <c r="PJE24" s="246"/>
      <c r="PJF24" s="246"/>
      <c r="PJG24" s="246"/>
      <c r="PJH24" s="246"/>
      <c r="PJI24" s="246"/>
      <c r="PJJ24" s="246"/>
      <c r="PJK24" s="246"/>
      <c r="PJL24" s="246"/>
      <c r="PJM24" s="246"/>
      <c r="PJN24" s="246"/>
      <c r="PJO24" s="246"/>
      <c r="PJP24" s="246"/>
      <c r="PJQ24" s="246"/>
      <c r="PJR24" s="246"/>
      <c r="PJS24" s="246"/>
      <c r="PJT24" s="246"/>
      <c r="PJU24" s="246"/>
      <c r="PJV24" s="246"/>
      <c r="PJW24" s="246"/>
      <c r="PJX24" s="246"/>
      <c r="PJY24" s="246"/>
      <c r="PJZ24" s="246"/>
      <c r="PKA24" s="246"/>
      <c r="PKB24" s="246"/>
      <c r="PKC24" s="246"/>
      <c r="PKD24" s="246"/>
      <c r="PKE24" s="246"/>
      <c r="PKF24" s="246"/>
      <c r="PKG24" s="246"/>
      <c r="PKH24" s="246"/>
      <c r="PKI24" s="246"/>
      <c r="PKJ24" s="246"/>
      <c r="PKK24" s="246"/>
      <c r="PKL24" s="246"/>
      <c r="PKM24" s="246"/>
      <c r="PKN24" s="246"/>
      <c r="PKO24" s="246"/>
      <c r="PKP24" s="246"/>
      <c r="PKQ24" s="246"/>
      <c r="PKR24" s="246"/>
      <c r="PKS24" s="246"/>
      <c r="PKT24" s="246"/>
      <c r="PKU24" s="246"/>
      <c r="PKV24" s="246"/>
      <c r="PKW24" s="246"/>
      <c r="PKX24" s="246"/>
      <c r="PKY24" s="246"/>
      <c r="PKZ24" s="246"/>
      <c r="PLA24" s="246"/>
      <c r="PLB24" s="246"/>
      <c r="PLC24" s="246"/>
      <c r="PLD24" s="246"/>
      <c r="PLE24" s="246"/>
      <c r="PLF24" s="246"/>
      <c r="PLG24" s="246"/>
      <c r="PLH24" s="246"/>
      <c r="PLI24" s="246"/>
      <c r="PLJ24" s="246"/>
      <c r="PLK24" s="246"/>
      <c r="PLL24" s="246"/>
      <c r="PLM24" s="246"/>
      <c r="PLN24" s="246"/>
      <c r="PLO24" s="246"/>
      <c r="PLP24" s="246"/>
      <c r="PLQ24" s="246"/>
      <c r="PLR24" s="246"/>
      <c r="PLS24" s="246"/>
      <c r="PLT24" s="246"/>
      <c r="PLU24" s="246"/>
      <c r="PLV24" s="246"/>
      <c r="PLW24" s="246"/>
      <c r="PLX24" s="246"/>
      <c r="PLY24" s="246"/>
      <c r="PLZ24" s="246"/>
      <c r="PMA24" s="246"/>
      <c r="PMB24" s="246"/>
      <c r="PMC24" s="246"/>
      <c r="PMD24" s="246"/>
      <c r="PME24" s="246"/>
      <c r="PMF24" s="246"/>
      <c r="PMG24" s="246"/>
      <c r="PMH24" s="246"/>
      <c r="PMI24" s="246"/>
      <c r="PMJ24" s="246"/>
      <c r="PMK24" s="246"/>
      <c r="PML24" s="246"/>
      <c r="PMM24" s="246"/>
      <c r="PMN24" s="246"/>
      <c r="PMO24" s="246"/>
      <c r="PMP24" s="246"/>
      <c r="PMQ24" s="246"/>
      <c r="PMR24" s="246"/>
      <c r="PMS24" s="246"/>
      <c r="PMT24" s="246"/>
      <c r="PMU24" s="246"/>
      <c r="PMV24" s="246"/>
      <c r="PMW24" s="246"/>
      <c r="PMX24" s="246"/>
      <c r="PMY24" s="246"/>
      <c r="PMZ24" s="246"/>
      <c r="PNA24" s="246"/>
      <c r="PNB24" s="246"/>
      <c r="PNC24" s="246"/>
      <c r="PND24" s="246"/>
      <c r="PNE24" s="246"/>
      <c r="PNF24" s="246"/>
      <c r="PNG24" s="246"/>
      <c r="PNH24" s="246"/>
      <c r="PNI24" s="246"/>
      <c r="PNJ24" s="246"/>
      <c r="PNK24" s="246"/>
      <c r="PNL24" s="246"/>
      <c r="PNM24" s="246"/>
      <c r="PNN24" s="246"/>
      <c r="PNO24" s="246"/>
      <c r="PNP24" s="246"/>
      <c r="PNQ24" s="246"/>
      <c r="PNR24" s="246"/>
      <c r="PNS24" s="246"/>
      <c r="PNT24" s="246"/>
      <c r="PNU24" s="246"/>
      <c r="PNV24" s="246"/>
      <c r="PNW24" s="246"/>
      <c r="PNX24" s="246"/>
      <c r="PNY24" s="246"/>
      <c r="PNZ24" s="246"/>
      <c r="POA24" s="246"/>
      <c r="POB24" s="246"/>
      <c r="POC24" s="246"/>
      <c r="POD24" s="246"/>
      <c r="POE24" s="246"/>
      <c r="POF24" s="246"/>
      <c r="POG24" s="246"/>
      <c r="POH24" s="246"/>
      <c r="POI24" s="246"/>
      <c r="POJ24" s="246"/>
      <c r="POK24" s="246"/>
      <c r="POL24" s="246"/>
      <c r="POM24" s="246"/>
      <c r="PON24" s="246"/>
      <c r="POO24" s="246"/>
      <c r="POP24" s="246"/>
      <c r="POQ24" s="246"/>
      <c r="POR24" s="246"/>
      <c r="POS24" s="246"/>
      <c r="POT24" s="246"/>
      <c r="POU24" s="246"/>
      <c r="POV24" s="246"/>
      <c r="POW24" s="246"/>
      <c r="POX24" s="246"/>
      <c r="POY24" s="246"/>
      <c r="POZ24" s="246"/>
      <c r="PPA24" s="246"/>
      <c r="PPB24" s="246"/>
      <c r="PPC24" s="246"/>
      <c r="PPD24" s="246"/>
      <c r="PPE24" s="246"/>
      <c r="PPF24" s="246"/>
      <c r="PPG24" s="246"/>
      <c r="PPH24" s="246"/>
      <c r="PPI24" s="246"/>
      <c r="PPJ24" s="246"/>
      <c r="PPK24" s="246"/>
      <c r="PPL24" s="246"/>
      <c r="PPM24" s="246"/>
      <c r="PPN24" s="246"/>
      <c r="PPO24" s="246"/>
      <c r="PPP24" s="246"/>
      <c r="PPQ24" s="246"/>
      <c r="PPR24" s="246"/>
      <c r="PPS24" s="246"/>
      <c r="PPT24" s="246"/>
      <c r="PPU24" s="246"/>
      <c r="PPV24" s="246"/>
      <c r="PPW24" s="246"/>
      <c r="PPX24" s="246"/>
      <c r="PPY24" s="246"/>
      <c r="PPZ24" s="246"/>
      <c r="PQA24" s="246"/>
      <c r="PQB24" s="246"/>
      <c r="PQC24" s="246"/>
      <c r="PQD24" s="246"/>
      <c r="PQE24" s="246"/>
      <c r="PQF24" s="246"/>
      <c r="PQG24" s="246"/>
      <c r="PQH24" s="246"/>
      <c r="PQI24" s="246"/>
      <c r="PQJ24" s="246"/>
      <c r="PQK24" s="246"/>
      <c r="PQL24" s="246"/>
      <c r="PQM24" s="246"/>
      <c r="PQN24" s="246"/>
      <c r="PQO24" s="246"/>
      <c r="PQP24" s="246"/>
      <c r="PQQ24" s="246"/>
      <c r="PQR24" s="246"/>
      <c r="PQS24" s="246"/>
      <c r="PQT24" s="246"/>
      <c r="PQU24" s="246"/>
      <c r="PQV24" s="246"/>
      <c r="PQW24" s="246"/>
      <c r="PQX24" s="246"/>
      <c r="PQY24" s="246"/>
      <c r="PQZ24" s="246"/>
      <c r="PRA24" s="246"/>
      <c r="PRB24" s="246"/>
      <c r="PRC24" s="246"/>
      <c r="PRD24" s="246"/>
      <c r="PRE24" s="246"/>
      <c r="PRF24" s="246"/>
      <c r="PRG24" s="246"/>
      <c r="PRH24" s="246"/>
      <c r="PRI24" s="246"/>
      <c r="PRJ24" s="246"/>
      <c r="PRK24" s="246"/>
      <c r="PRL24" s="246"/>
      <c r="PRM24" s="246"/>
      <c r="PRN24" s="246"/>
      <c r="PRO24" s="246"/>
      <c r="PRP24" s="246"/>
      <c r="PRQ24" s="246"/>
      <c r="PRR24" s="246"/>
      <c r="PRS24" s="246"/>
      <c r="PRT24" s="246"/>
      <c r="PRU24" s="246"/>
      <c r="PRV24" s="246"/>
      <c r="PRW24" s="246"/>
      <c r="PRX24" s="246"/>
      <c r="PRY24" s="246"/>
      <c r="PRZ24" s="246"/>
      <c r="PSA24" s="246"/>
      <c r="PSB24" s="246"/>
      <c r="PSC24" s="246"/>
      <c r="PSD24" s="246"/>
      <c r="PSE24" s="246"/>
      <c r="PSF24" s="246"/>
      <c r="PSG24" s="246"/>
      <c r="PSH24" s="246"/>
      <c r="PSI24" s="246"/>
      <c r="PSJ24" s="246"/>
      <c r="PSK24" s="246"/>
      <c r="PSL24" s="246"/>
      <c r="PSM24" s="246"/>
      <c r="PSN24" s="246"/>
      <c r="PSO24" s="246"/>
      <c r="PSP24" s="246"/>
      <c r="PSQ24" s="246"/>
      <c r="PSR24" s="246"/>
      <c r="PSS24" s="246"/>
      <c r="PST24" s="246"/>
      <c r="PSU24" s="246"/>
      <c r="PSV24" s="246"/>
      <c r="PSW24" s="246"/>
      <c r="PSX24" s="246"/>
      <c r="PSY24" s="246"/>
      <c r="PSZ24" s="246"/>
      <c r="PTA24" s="246"/>
      <c r="PTB24" s="246"/>
      <c r="PTC24" s="246"/>
      <c r="PTD24" s="246"/>
      <c r="PTE24" s="246"/>
      <c r="PTF24" s="246"/>
      <c r="PTG24" s="246"/>
      <c r="PTH24" s="246"/>
      <c r="PTI24" s="246"/>
      <c r="PTJ24" s="246"/>
      <c r="PTK24" s="246"/>
      <c r="PTL24" s="246"/>
      <c r="PTM24" s="246"/>
      <c r="PTN24" s="246"/>
      <c r="PTO24" s="246"/>
      <c r="PTP24" s="246"/>
      <c r="PTQ24" s="246"/>
      <c r="PTR24" s="246"/>
      <c r="PTS24" s="246"/>
      <c r="PTT24" s="246"/>
      <c r="PTU24" s="246"/>
      <c r="PTV24" s="246"/>
      <c r="PTW24" s="246"/>
      <c r="PTX24" s="246"/>
      <c r="PTY24" s="246"/>
      <c r="PTZ24" s="246"/>
      <c r="PUA24" s="246"/>
      <c r="PUB24" s="246"/>
      <c r="PUC24" s="246"/>
      <c r="PUD24" s="246"/>
      <c r="PUE24" s="246"/>
      <c r="PUF24" s="246"/>
      <c r="PUG24" s="246"/>
      <c r="PUH24" s="246"/>
      <c r="PUI24" s="246"/>
      <c r="PUJ24" s="246"/>
      <c r="PUK24" s="246"/>
      <c r="PUL24" s="246"/>
      <c r="PUM24" s="246"/>
      <c r="PUN24" s="246"/>
      <c r="PUO24" s="246"/>
      <c r="PUP24" s="246"/>
      <c r="PUQ24" s="246"/>
      <c r="PUR24" s="246"/>
      <c r="PUS24" s="246"/>
      <c r="PUT24" s="246"/>
      <c r="PUU24" s="246"/>
      <c r="PUV24" s="246"/>
      <c r="PUW24" s="246"/>
      <c r="PUX24" s="246"/>
      <c r="PUY24" s="246"/>
      <c r="PUZ24" s="246"/>
      <c r="PVA24" s="246"/>
      <c r="PVB24" s="246"/>
      <c r="PVC24" s="246"/>
      <c r="PVD24" s="246"/>
      <c r="PVE24" s="246"/>
      <c r="PVF24" s="246"/>
      <c r="PVG24" s="246"/>
      <c r="PVH24" s="246"/>
      <c r="PVI24" s="246"/>
      <c r="PVJ24" s="246"/>
      <c r="PVK24" s="246"/>
      <c r="PVL24" s="246"/>
      <c r="PVM24" s="246"/>
      <c r="PVN24" s="246"/>
      <c r="PVO24" s="246"/>
      <c r="PVP24" s="246"/>
      <c r="PVQ24" s="246"/>
      <c r="PVR24" s="246"/>
      <c r="PVS24" s="246"/>
      <c r="PVT24" s="246"/>
      <c r="PVU24" s="246"/>
      <c r="PVV24" s="246"/>
      <c r="PVW24" s="246"/>
      <c r="PVX24" s="246"/>
      <c r="PVY24" s="246"/>
      <c r="PVZ24" s="246"/>
      <c r="PWA24" s="246"/>
      <c r="PWB24" s="246"/>
      <c r="PWC24" s="246"/>
      <c r="PWD24" s="246"/>
      <c r="PWE24" s="246"/>
      <c r="PWF24" s="246"/>
      <c r="PWG24" s="246"/>
      <c r="PWH24" s="246"/>
      <c r="PWI24" s="246"/>
      <c r="PWJ24" s="246"/>
      <c r="PWK24" s="246"/>
      <c r="PWL24" s="246"/>
      <c r="PWM24" s="246"/>
      <c r="PWN24" s="246"/>
      <c r="PWO24" s="246"/>
      <c r="PWP24" s="246"/>
      <c r="PWQ24" s="246"/>
      <c r="PWR24" s="246"/>
      <c r="PWS24" s="246"/>
      <c r="PWT24" s="246"/>
      <c r="PWU24" s="246"/>
      <c r="PWV24" s="246"/>
      <c r="PWW24" s="246"/>
      <c r="PWX24" s="246"/>
      <c r="PWY24" s="246"/>
      <c r="PWZ24" s="246"/>
      <c r="PXA24" s="246"/>
      <c r="PXB24" s="246"/>
      <c r="PXC24" s="246"/>
      <c r="PXD24" s="246"/>
      <c r="PXE24" s="246"/>
      <c r="PXF24" s="246"/>
      <c r="PXG24" s="246"/>
      <c r="PXH24" s="246"/>
      <c r="PXI24" s="246"/>
      <c r="PXJ24" s="246"/>
      <c r="PXK24" s="246"/>
      <c r="PXL24" s="246"/>
      <c r="PXM24" s="246"/>
      <c r="PXN24" s="246"/>
      <c r="PXO24" s="246"/>
      <c r="PXP24" s="246"/>
      <c r="PXQ24" s="246"/>
      <c r="PXR24" s="246"/>
      <c r="PXS24" s="246"/>
      <c r="PXT24" s="246"/>
      <c r="PXU24" s="246"/>
      <c r="PXV24" s="246"/>
      <c r="PXW24" s="246"/>
      <c r="PXX24" s="246"/>
      <c r="PXY24" s="246"/>
      <c r="PXZ24" s="246"/>
      <c r="PYA24" s="246"/>
      <c r="PYB24" s="246"/>
      <c r="PYC24" s="246"/>
      <c r="PYD24" s="246"/>
      <c r="PYE24" s="246"/>
      <c r="PYF24" s="246"/>
      <c r="PYG24" s="246"/>
      <c r="PYH24" s="246"/>
      <c r="PYI24" s="246"/>
      <c r="PYJ24" s="246"/>
      <c r="PYK24" s="246"/>
      <c r="PYL24" s="246"/>
      <c r="PYM24" s="246"/>
      <c r="PYN24" s="246"/>
      <c r="PYO24" s="246"/>
      <c r="PYP24" s="246"/>
      <c r="PYQ24" s="246"/>
      <c r="PYR24" s="246"/>
      <c r="PYS24" s="246"/>
      <c r="PYT24" s="246"/>
      <c r="PYU24" s="246"/>
      <c r="PYV24" s="246"/>
      <c r="PYW24" s="246"/>
      <c r="PYX24" s="246"/>
      <c r="PYY24" s="246"/>
      <c r="PYZ24" s="246"/>
      <c r="PZA24" s="246"/>
      <c r="PZB24" s="246"/>
      <c r="PZC24" s="246"/>
      <c r="PZD24" s="246"/>
      <c r="PZE24" s="246"/>
      <c r="PZF24" s="246"/>
      <c r="PZG24" s="246"/>
      <c r="PZH24" s="246"/>
      <c r="PZI24" s="246"/>
      <c r="PZJ24" s="246"/>
      <c r="PZK24" s="246"/>
      <c r="PZL24" s="246"/>
      <c r="PZM24" s="246"/>
      <c r="PZN24" s="246"/>
      <c r="PZO24" s="246"/>
      <c r="PZP24" s="246"/>
      <c r="PZQ24" s="246"/>
      <c r="PZR24" s="246"/>
      <c r="PZS24" s="246"/>
      <c r="PZT24" s="246"/>
      <c r="PZU24" s="246"/>
      <c r="PZV24" s="246"/>
      <c r="PZW24" s="246"/>
      <c r="PZX24" s="246"/>
      <c r="PZY24" s="246"/>
      <c r="PZZ24" s="246"/>
      <c r="QAA24" s="246"/>
      <c r="QAB24" s="246"/>
      <c r="QAC24" s="246"/>
      <c r="QAD24" s="246"/>
      <c r="QAE24" s="246"/>
      <c r="QAF24" s="246"/>
      <c r="QAG24" s="246"/>
      <c r="QAH24" s="246"/>
      <c r="QAI24" s="246"/>
      <c r="QAJ24" s="246"/>
      <c r="QAK24" s="246"/>
      <c r="QAL24" s="246"/>
      <c r="QAM24" s="246"/>
      <c r="QAN24" s="246"/>
      <c r="QAO24" s="246"/>
      <c r="QAP24" s="246"/>
      <c r="QAQ24" s="246"/>
      <c r="QAR24" s="246"/>
      <c r="QAS24" s="246"/>
      <c r="QAT24" s="246"/>
      <c r="QAU24" s="246"/>
      <c r="QAV24" s="246"/>
      <c r="QAW24" s="246"/>
      <c r="QAX24" s="246"/>
      <c r="QAY24" s="246"/>
      <c r="QAZ24" s="246"/>
      <c r="QBA24" s="246"/>
      <c r="QBB24" s="246"/>
      <c r="QBC24" s="246"/>
      <c r="QBD24" s="246"/>
      <c r="QBE24" s="246"/>
      <c r="QBF24" s="246"/>
      <c r="QBG24" s="246"/>
      <c r="QBH24" s="246"/>
      <c r="QBI24" s="246"/>
      <c r="QBJ24" s="246"/>
      <c r="QBK24" s="246"/>
      <c r="QBL24" s="246"/>
      <c r="QBM24" s="246"/>
      <c r="QBN24" s="246"/>
      <c r="QBO24" s="246"/>
      <c r="QBP24" s="246"/>
      <c r="QBQ24" s="246"/>
      <c r="QBR24" s="246"/>
      <c r="QBS24" s="246"/>
      <c r="QBT24" s="246"/>
      <c r="QBU24" s="246"/>
      <c r="QBV24" s="246"/>
      <c r="QBW24" s="246"/>
      <c r="QBX24" s="246"/>
      <c r="QBY24" s="246"/>
      <c r="QBZ24" s="246"/>
      <c r="QCA24" s="246"/>
      <c r="QCB24" s="246"/>
      <c r="QCC24" s="246"/>
      <c r="QCD24" s="246"/>
      <c r="QCE24" s="246"/>
      <c r="QCF24" s="246"/>
      <c r="QCG24" s="246"/>
      <c r="QCH24" s="246"/>
      <c r="QCI24" s="246"/>
      <c r="QCJ24" s="246"/>
      <c r="QCK24" s="246"/>
      <c r="QCL24" s="246"/>
      <c r="QCM24" s="246"/>
      <c r="QCN24" s="246"/>
      <c r="QCO24" s="246"/>
      <c r="QCP24" s="246"/>
      <c r="QCQ24" s="246"/>
      <c r="QCR24" s="246"/>
      <c r="QCS24" s="246"/>
      <c r="QCT24" s="246"/>
      <c r="QCU24" s="246"/>
      <c r="QCV24" s="246"/>
      <c r="QCW24" s="246"/>
      <c r="QCX24" s="246"/>
      <c r="QCY24" s="246"/>
      <c r="QCZ24" s="246"/>
      <c r="QDA24" s="246"/>
      <c r="QDB24" s="246"/>
      <c r="QDC24" s="246"/>
      <c r="QDD24" s="246"/>
      <c r="QDE24" s="246"/>
      <c r="QDF24" s="246"/>
      <c r="QDG24" s="246"/>
      <c r="QDH24" s="246"/>
      <c r="QDI24" s="246"/>
      <c r="QDJ24" s="246"/>
      <c r="QDK24" s="246"/>
      <c r="QDL24" s="246"/>
      <c r="QDM24" s="246"/>
      <c r="QDN24" s="246"/>
      <c r="QDO24" s="246"/>
      <c r="QDP24" s="246"/>
      <c r="QDQ24" s="246"/>
      <c r="QDR24" s="246"/>
      <c r="QDS24" s="246"/>
      <c r="QDT24" s="246"/>
      <c r="QDU24" s="246"/>
      <c r="QDV24" s="246"/>
      <c r="QDW24" s="246"/>
      <c r="QDX24" s="246"/>
      <c r="QDY24" s="246"/>
      <c r="QDZ24" s="246"/>
      <c r="QEA24" s="246"/>
      <c r="QEB24" s="246"/>
      <c r="QEC24" s="246"/>
      <c r="QED24" s="246"/>
      <c r="QEE24" s="246"/>
      <c r="QEF24" s="246"/>
      <c r="QEG24" s="246"/>
      <c r="QEH24" s="246"/>
      <c r="QEI24" s="246"/>
      <c r="QEJ24" s="246"/>
      <c r="QEK24" s="246"/>
      <c r="QEL24" s="246"/>
      <c r="QEM24" s="246"/>
      <c r="QEN24" s="246"/>
      <c r="QEO24" s="246"/>
      <c r="QEP24" s="246"/>
      <c r="QEQ24" s="246"/>
      <c r="QER24" s="246"/>
      <c r="QES24" s="246"/>
      <c r="QET24" s="246"/>
      <c r="QEU24" s="246"/>
      <c r="QEV24" s="246"/>
      <c r="QEW24" s="246"/>
      <c r="QEX24" s="246"/>
      <c r="QEY24" s="246"/>
      <c r="QEZ24" s="246"/>
      <c r="QFA24" s="246"/>
      <c r="QFB24" s="246"/>
      <c r="QFC24" s="246"/>
      <c r="QFD24" s="246"/>
      <c r="QFE24" s="246"/>
      <c r="QFF24" s="246"/>
      <c r="QFG24" s="246"/>
      <c r="QFH24" s="246"/>
      <c r="QFI24" s="246"/>
      <c r="QFJ24" s="246"/>
      <c r="QFK24" s="246"/>
      <c r="QFL24" s="246"/>
      <c r="QFM24" s="246"/>
      <c r="QFN24" s="246"/>
      <c r="QFO24" s="246"/>
      <c r="QFP24" s="246"/>
      <c r="QFQ24" s="246"/>
      <c r="QFR24" s="246"/>
      <c r="QFS24" s="246"/>
      <c r="QFT24" s="246"/>
      <c r="QFU24" s="246"/>
      <c r="QFV24" s="246"/>
      <c r="QFW24" s="246"/>
      <c r="QFX24" s="246"/>
      <c r="QFY24" s="246"/>
      <c r="QFZ24" s="246"/>
      <c r="QGA24" s="246"/>
      <c r="QGB24" s="246"/>
      <c r="QGC24" s="246"/>
      <c r="QGD24" s="246"/>
      <c r="QGE24" s="246"/>
      <c r="QGF24" s="246"/>
      <c r="QGG24" s="246"/>
      <c r="QGH24" s="246"/>
      <c r="QGI24" s="246"/>
      <c r="QGJ24" s="246"/>
      <c r="QGK24" s="246"/>
      <c r="QGL24" s="246"/>
      <c r="QGM24" s="246"/>
      <c r="QGN24" s="246"/>
      <c r="QGO24" s="246"/>
      <c r="QGP24" s="246"/>
      <c r="QGQ24" s="246"/>
      <c r="QGR24" s="246"/>
      <c r="QGS24" s="246"/>
      <c r="QGT24" s="246"/>
      <c r="QGU24" s="246"/>
      <c r="QGV24" s="246"/>
      <c r="QGW24" s="246"/>
      <c r="QGX24" s="246"/>
      <c r="QGY24" s="246"/>
      <c r="QGZ24" s="246"/>
      <c r="QHA24" s="246"/>
      <c r="QHB24" s="246"/>
      <c r="QHC24" s="246"/>
      <c r="QHD24" s="246"/>
      <c r="QHE24" s="246"/>
      <c r="QHF24" s="246"/>
      <c r="QHG24" s="246"/>
      <c r="QHH24" s="246"/>
      <c r="QHI24" s="246"/>
      <c r="QHJ24" s="246"/>
      <c r="QHK24" s="246"/>
      <c r="QHL24" s="246"/>
      <c r="QHM24" s="246"/>
      <c r="QHN24" s="246"/>
      <c r="QHO24" s="246"/>
      <c r="QHP24" s="246"/>
      <c r="QHQ24" s="246"/>
      <c r="QHR24" s="246"/>
      <c r="QHS24" s="246"/>
      <c r="QHT24" s="246"/>
      <c r="QHU24" s="246"/>
      <c r="QHV24" s="246"/>
      <c r="QHW24" s="246"/>
      <c r="QHX24" s="246"/>
      <c r="QHY24" s="246"/>
      <c r="QHZ24" s="246"/>
      <c r="QIA24" s="246"/>
      <c r="QIB24" s="246"/>
      <c r="QIC24" s="246"/>
      <c r="QID24" s="246"/>
      <c r="QIE24" s="246"/>
      <c r="QIF24" s="246"/>
      <c r="QIG24" s="246"/>
      <c r="QIH24" s="246"/>
      <c r="QII24" s="246"/>
      <c r="QIJ24" s="246"/>
      <c r="QIK24" s="246"/>
      <c r="QIL24" s="246"/>
      <c r="QIM24" s="246"/>
      <c r="QIN24" s="246"/>
      <c r="QIO24" s="246"/>
      <c r="QIP24" s="246"/>
      <c r="QIQ24" s="246"/>
      <c r="QIR24" s="246"/>
      <c r="QIS24" s="246"/>
      <c r="QIT24" s="246"/>
      <c r="QIU24" s="246"/>
      <c r="QIV24" s="246"/>
      <c r="QIW24" s="246"/>
      <c r="QIX24" s="246"/>
      <c r="QIY24" s="246"/>
      <c r="QIZ24" s="246"/>
      <c r="QJA24" s="246"/>
      <c r="QJB24" s="246"/>
      <c r="QJC24" s="246"/>
      <c r="QJD24" s="246"/>
      <c r="QJE24" s="246"/>
      <c r="QJF24" s="246"/>
      <c r="QJG24" s="246"/>
      <c r="QJH24" s="246"/>
      <c r="QJI24" s="246"/>
      <c r="QJJ24" s="246"/>
      <c r="QJK24" s="246"/>
      <c r="QJL24" s="246"/>
      <c r="QJM24" s="246"/>
      <c r="QJN24" s="246"/>
      <c r="QJO24" s="246"/>
      <c r="QJP24" s="246"/>
      <c r="QJQ24" s="246"/>
      <c r="QJR24" s="246"/>
      <c r="QJS24" s="246"/>
      <c r="QJT24" s="246"/>
      <c r="QJU24" s="246"/>
      <c r="QJV24" s="246"/>
      <c r="QJW24" s="246"/>
      <c r="QJX24" s="246"/>
      <c r="QJY24" s="246"/>
      <c r="QJZ24" s="246"/>
      <c r="QKA24" s="246"/>
      <c r="QKB24" s="246"/>
      <c r="QKC24" s="246"/>
      <c r="QKD24" s="246"/>
      <c r="QKE24" s="246"/>
      <c r="QKF24" s="246"/>
      <c r="QKG24" s="246"/>
      <c r="QKH24" s="246"/>
      <c r="QKI24" s="246"/>
      <c r="QKJ24" s="246"/>
      <c r="QKK24" s="246"/>
      <c r="QKL24" s="246"/>
      <c r="QKM24" s="246"/>
      <c r="QKN24" s="246"/>
      <c r="QKO24" s="246"/>
      <c r="QKP24" s="246"/>
      <c r="QKQ24" s="246"/>
      <c r="QKR24" s="246"/>
      <c r="QKS24" s="246"/>
      <c r="QKT24" s="246"/>
      <c r="QKU24" s="246"/>
      <c r="QKV24" s="246"/>
      <c r="QKW24" s="246"/>
      <c r="QKX24" s="246"/>
      <c r="QKY24" s="246"/>
      <c r="QKZ24" s="246"/>
      <c r="QLA24" s="246"/>
      <c r="QLB24" s="246"/>
      <c r="QLC24" s="246"/>
      <c r="QLD24" s="246"/>
      <c r="QLE24" s="246"/>
      <c r="QLF24" s="246"/>
      <c r="QLG24" s="246"/>
      <c r="QLH24" s="246"/>
      <c r="QLI24" s="246"/>
      <c r="QLJ24" s="246"/>
      <c r="QLK24" s="246"/>
      <c r="QLL24" s="246"/>
      <c r="QLM24" s="246"/>
      <c r="QLN24" s="246"/>
      <c r="QLO24" s="246"/>
      <c r="QLP24" s="246"/>
      <c r="QLQ24" s="246"/>
      <c r="QLR24" s="246"/>
      <c r="QLS24" s="246"/>
      <c r="QLT24" s="246"/>
      <c r="QLU24" s="246"/>
      <c r="QLV24" s="246"/>
      <c r="QLW24" s="246"/>
      <c r="QLX24" s="246"/>
      <c r="QLY24" s="246"/>
      <c r="QLZ24" s="246"/>
      <c r="QMA24" s="246"/>
      <c r="QMB24" s="246"/>
      <c r="QMC24" s="246"/>
      <c r="QMD24" s="246"/>
      <c r="QME24" s="246"/>
      <c r="QMF24" s="246"/>
      <c r="QMG24" s="246"/>
      <c r="QMH24" s="246"/>
      <c r="QMI24" s="246"/>
      <c r="QMJ24" s="246"/>
      <c r="QMK24" s="246"/>
      <c r="QML24" s="246"/>
      <c r="QMM24" s="246"/>
      <c r="QMN24" s="246"/>
      <c r="QMO24" s="246"/>
      <c r="QMP24" s="246"/>
      <c r="QMQ24" s="246"/>
      <c r="QMR24" s="246"/>
      <c r="QMS24" s="246"/>
      <c r="QMT24" s="246"/>
      <c r="QMU24" s="246"/>
      <c r="QMV24" s="246"/>
      <c r="QMW24" s="246"/>
      <c r="QMX24" s="246"/>
      <c r="QMY24" s="246"/>
      <c r="QMZ24" s="246"/>
      <c r="QNA24" s="246"/>
      <c r="QNB24" s="246"/>
      <c r="QNC24" s="246"/>
      <c r="QND24" s="246"/>
      <c r="QNE24" s="246"/>
      <c r="QNF24" s="246"/>
      <c r="QNG24" s="246"/>
      <c r="QNH24" s="246"/>
      <c r="QNI24" s="246"/>
      <c r="QNJ24" s="246"/>
      <c r="QNK24" s="246"/>
      <c r="QNL24" s="246"/>
      <c r="QNM24" s="246"/>
      <c r="QNN24" s="246"/>
      <c r="QNO24" s="246"/>
      <c r="QNP24" s="246"/>
      <c r="QNQ24" s="246"/>
      <c r="QNR24" s="246"/>
      <c r="QNS24" s="246"/>
      <c r="QNT24" s="246"/>
      <c r="QNU24" s="246"/>
      <c r="QNV24" s="246"/>
      <c r="QNW24" s="246"/>
      <c r="QNX24" s="246"/>
      <c r="QNY24" s="246"/>
      <c r="QNZ24" s="246"/>
      <c r="QOA24" s="246"/>
      <c r="QOB24" s="246"/>
      <c r="QOC24" s="246"/>
      <c r="QOD24" s="246"/>
      <c r="QOE24" s="246"/>
      <c r="QOF24" s="246"/>
      <c r="QOG24" s="246"/>
      <c r="QOH24" s="246"/>
      <c r="QOI24" s="246"/>
      <c r="QOJ24" s="246"/>
      <c r="QOK24" s="246"/>
      <c r="QOL24" s="246"/>
      <c r="QOM24" s="246"/>
      <c r="QON24" s="246"/>
      <c r="QOO24" s="246"/>
      <c r="QOP24" s="246"/>
      <c r="QOQ24" s="246"/>
      <c r="QOR24" s="246"/>
      <c r="QOS24" s="246"/>
      <c r="QOT24" s="246"/>
      <c r="QOU24" s="246"/>
      <c r="QOV24" s="246"/>
      <c r="QOW24" s="246"/>
      <c r="QOX24" s="246"/>
      <c r="QOY24" s="246"/>
      <c r="QOZ24" s="246"/>
      <c r="QPA24" s="246"/>
      <c r="QPB24" s="246"/>
      <c r="QPC24" s="246"/>
      <c r="QPD24" s="246"/>
      <c r="QPE24" s="246"/>
      <c r="QPF24" s="246"/>
      <c r="QPG24" s="246"/>
      <c r="QPH24" s="246"/>
      <c r="QPI24" s="246"/>
      <c r="QPJ24" s="246"/>
      <c r="QPK24" s="246"/>
      <c r="QPL24" s="246"/>
      <c r="QPM24" s="246"/>
      <c r="QPN24" s="246"/>
      <c r="QPO24" s="246"/>
      <c r="QPP24" s="246"/>
      <c r="QPQ24" s="246"/>
      <c r="QPR24" s="246"/>
      <c r="QPS24" s="246"/>
      <c r="QPT24" s="246"/>
      <c r="QPU24" s="246"/>
      <c r="QPV24" s="246"/>
      <c r="QPW24" s="246"/>
      <c r="QPX24" s="246"/>
      <c r="QPY24" s="246"/>
      <c r="QPZ24" s="246"/>
      <c r="QQA24" s="246"/>
      <c r="QQB24" s="246"/>
      <c r="QQC24" s="246"/>
      <c r="QQD24" s="246"/>
      <c r="QQE24" s="246"/>
      <c r="QQF24" s="246"/>
      <c r="QQG24" s="246"/>
      <c r="QQH24" s="246"/>
      <c r="QQI24" s="246"/>
      <c r="QQJ24" s="246"/>
      <c r="QQK24" s="246"/>
      <c r="QQL24" s="246"/>
      <c r="QQM24" s="246"/>
      <c r="QQN24" s="246"/>
      <c r="QQO24" s="246"/>
      <c r="QQP24" s="246"/>
      <c r="QQQ24" s="246"/>
      <c r="QQR24" s="246"/>
      <c r="QQS24" s="246"/>
      <c r="QQT24" s="246"/>
      <c r="QQU24" s="246"/>
      <c r="QQV24" s="246"/>
      <c r="QQW24" s="246"/>
      <c r="QQX24" s="246"/>
      <c r="QQY24" s="246"/>
      <c r="QQZ24" s="246"/>
      <c r="QRA24" s="246"/>
      <c r="QRB24" s="246"/>
      <c r="QRC24" s="246"/>
      <c r="QRD24" s="246"/>
      <c r="QRE24" s="246"/>
      <c r="QRF24" s="246"/>
      <c r="QRG24" s="246"/>
      <c r="QRH24" s="246"/>
      <c r="QRI24" s="246"/>
      <c r="QRJ24" s="246"/>
      <c r="QRK24" s="246"/>
      <c r="QRL24" s="246"/>
      <c r="QRM24" s="246"/>
      <c r="QRN24" s="246"/>
      <c r="QRO24" s="246"/>
      <c r="QRP24" s="246"/>
      <c r="QRQ24" s="246"/>
      <c r="QRR24" s="246"/>
      <c r="QRS24" s="246"/>
      <c r="QRT24" s="246"/>
      <c r="QRU24" s="246"/>
      <c r="QRV24" s="246"/>
      <c r="QRW24" s="246"/>
      <c r="QRX24" s="246"/>
      <c r="QRY24" s="246"/>
      <c r="QRZ24" s="246"/>
      <c r="QSA24" s="246"/>
      <c r="QSB24" s="246"/>
      <c r="QSC24" s="246"/>
      <c r="QSD24" s="246"/>
      <c r="QSE24" s="246"/>
      <c r="QSF24" s="246"/>
      <c r="QSG24" s="246"/>
      <c r="QSH24" s="246"/>
      <c r="QSI24" s="246"/>
      <c r="QSJ24" s="246"/>
      <c r="QSK24" s="246"/>
      <c r="QSL24" s="246"/>
      <c r="QSM24" s="246"/>
      <c r="QSN24" s="246"/>
      <c r="QSO24" s="246"/>
      <c r="QSP24" s="246"/>
      <c r="QSQ24" s="246"/>
      <c r="QSR24" s="246"/>
      <c r="QSS24" s="246"/>
      <c r="QST24" s="246"/>
      <c r="QSU24" s="246"/>
      <c r="QSV24" s="246"/>
      <c r="QSW24" s="246"/>
      <c r="QSX24" s="246"/>
      <c r="QSY24" s="246"/>
      <c r="QSZ24" s="246"/>
      <c r="QTA24" s="246"/>
      <c r="QTB24" s="246"/>
      <c r="QTC24" s="246"/>
      <c r="QTD24" s="246"/>
      <c r="QTE24" s="246"/>
      <c r="QTF24" s="246"/>
      <c r="QTG24" s="246"/>
      <c r="QTH24" s="246"/>
      <c r="QTI24" s="246"/>
      <c r="QTJ24" s="246"/>
      <c r="QTK24" s="246"/>
      <c r="QTL24" s="246"/>
      <c r="QTM24" s="246"/>
      <c r="QTN24" s="246"/>
      <c r="QTO24" s="246"/>
      <c r="QTP24" s="246"/>
      <c r="QTQ24" s="246"/>
      <c r="QTR24" s="246"/>
      <c r="QTS24" s="246"/>
      <c r="QTT24" s="246"/>
      <c r="QTU24" s="246"/>
      <c r="QTV24" s="246"/>
      <c r="QTW24" s="246"/>
      <c r="QTX24" s="246"/>
      <c r="QTY24" s="246"/>
      <c r="QTZ24" s="246"/>
      <c r="QUA24" s="246"/>
      <c r="QUB24" s="246"/>
      <c r="QUC24" s="246"/>
      <c r="QUD24" s="246"/>
      <c r="QUE24" s="246"/>
      <c r="QUF24" s="246"/>
      <c r="QUG24" s="246"/>
      <c r="QUH24" s="246"/>
      <c r="QUI24" s="246"/>
      <c r="QUJ24" s="246"/>
      <c r="QUK24" s="246"/>
      <c r="QUL24" s="246"/>
      <c r="QUM24" s="246"/>
      <c r="QUN24" s="246"/>
      <c r="QUO24" s="246"/>
      <c r="QUP24" s="246"/>
      <c r="QUQ24" s="246"/>
      <c r="QUR24" s="246"/>
      <c r="QUS24" s="246"/>
      <c r="QUT24" s="246"/>
      <c r="QUU24" s="246"/>
      <c r="QUV24" s="246"/>
      <c r="QUW24" s="246"/>
      <c r="QUX24" s="246"/>
      <c r="QUY24" s="246"/>
      <c r="QUZ24" s="246"/>
      <c r="QVA24" s="246"/>
      <c r="QVB24" s="246"/>
      <c r="QVC24" s="246"/>
      <c r="QVD24" s="246"/>
      <c r="QVE24" s="246"/>
      <c r="QVF24" s="246"/>
      <c r="QVG24" s="246"/>
      <c r="QVH24" s="246"/>
      <c r="QVI24" s="246"/>
      <c r="QVJ24" s="246"/>
      <c r="QVK24" s="246"/>
      <c r="QVL24" s="246"/>
      <c r="QVM24" s="246"/>
      <c r="QVN24" s="246"/>
      <c r="QVO24" s="246"/>
      <c r="QVP24" s="246"/>
      <c r="QVQ24" s="246"/>
      <c r="QVR24" s="246"/>
      <c r="QVS24" s="246"/>
      <c r="QVT24" s="246"/>
      <c r="QVU24" s="246"/>
      <c r="QVV24" s="246"/>
      <c r="QVW24" s="246"/>
      <c r="QVX24" s="246"/>
      <c r="QVY24" s="246"/>
      <c r="QVZ24" s="246"/>
      <c r="QWA24" s="246"/>
      <c r="QWB24" s="246"/>
      <c r="QWC24" s="246"/>
      <c r="QWD24" s="246"/>
      <c r="QWE24" s="246"/>
      <c r="QWF24" s="246"/>
      <c r="QWG24" s="246"/>
      <c r="QWH24" s="246"/>
      <c r="QWI24" s="246"/>
      <c r="QWJ24" s="246"/>
      <c r="QWK24" s="246"/>
      <c r="QWL24" s="246"/>
      <c r="QWM24" s="246"/>
      <c r="QWN24" s="246"/>
      <c r="QWO24" s="246"/>
      <c r="QWP24" s="246"/>
      <c r="QWQ24" s="246"/>
      <c r="QWR24" s="246"/>
      <c r="QWS24" s="246"/>
      <c r="QWT24" s="246"/>
      <c r="QWU24" s="246"/>
      <c r="QWV24" s="246"/>
      <c r="QWW24" s="246"/>
      <c r="QWX24" s="246"/>
      <c r="QWY24" s="246"/>
      <c r="QWZ24" s="246"/>
      <c r="QXA24" s="246"/>
      <c r="QXB24" s="246"/>
      <c r="QXC24" s="246"/>
      <c r="QXD24" s="246"/>
      <c r="QXE24" s="246"/>
      <c r="QXF24" s="246"/>
      <c r="QXG24" s="246"/>
      <c r="QXH24" s="246"/>
      <c r="QXI24" s="246"/>
      <c r="QXJ24" s="246"/>
      <c r="QXK24" s="246"/>
      <c r="QXL24" s="246"/>
      <c r="QXM24" s="246"/>
      <c r="QXN24" s="246"/>
      <c r="QXO24" s="246"/>
      <c r="QXP24" s="246"/>
      <c r="QXQ24" s="246"/>
      <c r="QXR24" s="246"/>
      <c r="QXS24" s="246"/>
      <c r="QXT24" s="246"/>
      <c r="QXU24" s="246"/>
      <c r="QXV24" s="246"/>
      <c r="QXW24" s="246"/>
      <c r="QXX24" s="246"/>
      <c r="QXY24" s="246"/>
      <c r="QXZ24" s="246"/>
      <c r="QYA24" s="246"/>
      <c r="QYB24" s="246"/>
      <c r="QYC24" s="246"/>
      <c r="QYD24" s="246"/>
      <c r="QYE24" s="246"/>
      <c r="QYF24" s="246"/>
      <c r="QYG24" s="246"/>
      <c r="QYH24" s="246"/>
      <c r="QYI24" s="246"/>
      <c r="QYJ24" s="246"/>
      <c r="QYK24" s="246"/>
      <c r="QYL24" s="246"/>
      <c r="QYM24" s="246"/>
      <c r="QYN24" s="246"/>
      <c r="QYO24" s="246"/>
      <c r="QYP24" s="246"/>
      <c r="QYQ24" s="246"/>
      <c r="QYR24" s="246"/>
      <c r="QYS24" s="246"/>
      <c r="QYT24" s="246"/>
      <c r="QYU24" s="246"/>
      <c r="QYV24" s="246"/>
      <c r="QYW24" s="246"/>
      <c r="QYX24" s="246"/>
      <c r="QYY24" s="246"/>
      <c r="QYZ24" s="246"/>
      <c r="QZA24" s="246"/>
      <c r="QZB24" s="246"/>
      <c r="QZC24" s="246"/>
      <c r="QZD24" s="246"/>
      <c r="QZE24" s="246"/>
      <c r="QZF24" s="246"/>
      <c r="QZG24" s="246"/>
      <c r="QZH24" s="246"/>
      <c r="QZI24" s="246"/>
      <c r="QZJ24" s="246"/>
      <c r="QZK24" s="246"/>
      <c r="QZL24" s="246"/>
      <c r="QZM24" s="246"/>
      <c r="QZN24" s="246"/>
      <c r="QZO24" s="246"/>
      <c r="QZP24" s="246"/>
      <c r="QZQ24" s="246"/>
      <c r="QZR24" s="246"/>
      <c r="QZS24" s="246"/>
      <c r="QZT24" s="246"/>
      <c r="QZU24" s="246"/>
      <c r="QZV24" s="246"/>
      <c r="QZW24" s="246"/>
      <c r="QZX24" s="246"/>
      <c r="QZY24" s="246"/>
      <c r="QZZ24" s="246"/>
      <c r="RAA24" s="246"/>
      <c r="RAB24" s="246"/>
      <c r="RAC24" s="246"/>
      <c r="RAD24" s="246"/>
      <c r="RAE24" s="246"/>
      <c r="RAF24" s="246"/>
      <c r="RAG24" s="246"/>
      <c r="RAH24" s="246"/>
      <c r="RAI24" s="246"/>
      <c r="RAJ24" s="246"/>
      <c r="RAK24" s="246"/>
      <c r="RAL24" s="246"/>
      <c r="RAM24" s="246"/>
      <c r="RAN24" s="246"/>
      <c r="RAO24" s="246"/>
      <c r="RAP24" s="246"/>
      <c r="RAQ24" s="246"/>
      <c r="RAR24" s="246"/>
      <c r="RAS24" s="246"/>
      <c r="RAT24" s="246"/>
      <c r="RAU24" s="246"/>
      <c r="RAV24" s="246"/>
      <c r="RAW24" s="246"/>
      <c r="RAX24" s="246"/>
      <c r="RAY24" s="246"/>
      <c r="RAZ24" s="246"/>
      <c r="RBA24" s="246"/>
      <c r="RBB24" s="246"/>
      <c r="RBC24" s="246"/>
      <c r="RBD24" s="246"/>
      <c r="RBE24" s="246"/>
      <c r="RBF24" s="246"/>
      <c r="RBG24" s="246"/>
      <c r="RBH24" s="246"/>
      <c r="RBI24" s="246"/>
      <c r="RBJ24" s="246"/>
      <c r="RBK24" s="246"/>
      <c r="RBL24" s="246"/>
      <c r="RBM24" s="246"/>
      <c r="RBN24" s="246"/>
      <c r="RBO24" s="246"/>
      <c r="RBP24" s="246"/>
      <c r="RBQ24" s="246"/>
      <c r="RBR24" s="246"/>
      <c r="RBS24" s="246"/>
      <c r="RBT24" s="246"/>
      <c r="RBU24" s="246"/>
      <c r="RBV24" s="246"/>
      <c r="RBW24" s="246"/>
      <c r="RBX24" s="246"/>
      <c r="RBY24" s="246"/>
      <c r="RBZ24" s="246"/>
      <c r="RCA24" s="246"/>
      <c r="RCB24" s="246"/>
      <c r="RCC24" s="246"/>
      <c r="RCD24" s="246"/>
      <c r="RCE24" s="246"/>
      <c r="RCF24" s="246"/>
      <c r="RCG24" s="246"/>
      <c r="RCH24" s="246"/>
      <c r="RCI24" s="246"/>
      <c r="RCJ24" s="246"/>
      <c r="RCK24" s="246"/>
      <c r="RCL24" s="246"/>
      <c r="RCM24" s="246"/>
      <c r="RCN24" s="246"/>
      <c r="RCO24" s="246"/>
      <c r="RCP24" s="246"/>
      <c r="RCQ24" s="246"/>
      <c r="RCR24" s="246"/>
      <c r="RCS24" s="246"/>
      <c r="RCT24" s="246"/>
      <c r="RCU24" s="246"/>
      <c r="RCV24" s="246"/>
      <c r="RCW24" s="246"/>
      <c r="RCX24" s="246"/>
      <c r="RCY24" s="246"/>
      <c r="RCZ24" s="246"/>
      <c r="RDA24" s="246"/>
      <c r="RDB24" s="246"/>
      <c r="RDC24" s="246"/>
      <c r="RDD24" s="246"/>
      <c r="RDE24" s="246"/>
      <c r="RDF24" s="246"/>
      <c r="RDG24" s="246"/>
      <c r="RDH24" s="246"/>
      <c r="RDI24" s="246"/>
      <c r="RDJ24" s="246"/>
      <c r="RDK24" s="246"/>
      <c r="RDL24" s="246"/>
      <c r="RDM24" s="246"/>
      <c r="RDN24" s="246"/>
      <c r="RDO24" s="246"/>
      <c r="RDP24" s="246"/>
      <c r="RDQ24" s="246"/>
      <c r="RDR24" s="246"/>
      <c r="RDS24" s="246"/>
      <c r="RDT24" s="246"/>
      <c r="RDU24" s="246"/>
      <c r="RDV24" s="246"/>
      <c r="RDW24" s="246"/>
      <c r="RDX24" s="246"/>
      <c r="RDY24" s="246"/>
      <c r="RDZ24" s="246"/>
      <c r="REA24" s="246"/>
      <c r="REB24" s="246"/>
      <c r="REC24" s="246"/>
      <c r="RED24" s="246"/>
      <c r="REE24" s="246"/>
      <c r="REF24" s="246"/>
      <c r="REG24" s="246"/>
      <c r="REH24" s="246"/>
      <c r="REI24" s="246"/>
      <c r="REJ24" s="246"/>
      <c r="REK24" s="246"/>
      <c r="REL24" s="246"/>
      <c r="REM24" s="246"/>
      <c r="REN24" s="246"/>
      <c r="REO24" s="246"/>
      <c r="REP24" s="246"/>
      <c r="REQ24" s="246"/>
      <c r="RER24" s="246"/>
      <c r="RES24" s="246"/>
      <c r="RET24" s="246"/>
      <c r="REU24" s="246"/>
      <c r="REV24" s="246"/>
      <c r="REW24" s="246"/>
      <c r="REX24" s="246"/>
      <c r="REY24" s="246"/>
      <c r="REZ24" s="246"/>
      <c r="RFA24" s="246"/>
      <c r="RFB24" s="246"/>
      <c r="RFC24" s="246"/>
      <c r="RFD24" s="246"/>
      <c r="RFE24" s="246"/>
      <c r="RFF24" s="246"/>
      <c r="RFG24" s="246"/>
      <c r="RFH24" s="246"/>
      <c r="RFI24" s="246"/>
      <c r="RFJ24" s="246"/>
      <c r="RFK24" s="246"/>
      <c r="RFL24" s="246"/>
      <c r="RFM24" s="246"/>
      <c r="RFN24" s="246"/>
      <c r="RFO24" s="246"/>
      <c r="RFP24" s="246"/>
      <c r="RFQ24" s="246"/>
      <c r="RFR24" s="246"/>
      <c r="RFS24" s="246"/>
      <c r="RFT24" s="246"/>
      <c r="RFU24" s="246"/>
      <c r="RFV24" s="246"/>
      <c r="RFW24" s="246"/>
      <c r="RFX24" s="246"/>
      <c r="RFY24" s="246"/>
      <c r="RFZ24" s="246"/>
      <c r="RGA24" s="246"/>
      <c r="RGB24" s="246"/>
      <c r="RGC24" s="246"/>
      <c r="RGD24" s="246"/>
      <c r="RGE24" s="246"/>
      <c r="RGF24" s="246"/>
      <c r="RGG24" s="246"/>
      <c r="RGH24" s="246"/>
      <c r="RGI24" s="246"/>
      <c r="RGJ24" s="246"/>
      <c r="RGK24" s="246"/>
      <c r="RGL24" s="246"/>
      <c r="RGM24" s="246"/>
      <c r="RGN24" s="246"/>
      <c r="RGO24" s="246"/>
      <c r="RGP24" s="246"/>
      <c r="RGQ24" s="246"/>
      <c r="RGR24" s="246"/>
      <c r="RGS24" s="246"/>
      <c r="RGT24" s="246"/>
      <c r="RGU24" s="246"/>
      <c r="RGV24" s="246"/>
      <c r="RGW24" s="246"/>
      <c r="RGX24" s="246"/>
      <c r="RGY24" s="246"/>
      <c r="RGZ24" s="246"/>
      <c r="RHA24" s="246"/>
      <c r="RHB24" s="246"/>
      <c r="RHC24" s="246"/>
      <c r="RHD24" s="246"/>
      <c r="RHE24" s="246"/>
      <c r="RHF24" s="246"/>
      <c r="RHG24" s="246"/>
      <c r="RHH24" s="246"/>
      <c r="RHI24" s="246"/>
      <c r="RHJ24" s="246"/>
      <c r="RHK24" s="246"/>
      <c r="RHL24" s="246"/>
      <c r="RHM24" s="246"/>
      <c r="RHN24" s="246"/>
      <c r="RHO24" s="246"/>
      <c r="RHP24" s="246"/>
      <c r="RHQ24" s="246"/>
      <c r="RHR24" s="246"/>
      <c r="RHS24" s="246"/>
      <c r="RHT24" s="246"/>
      <c r="RHU24" s="246"/>
      <c r="RHV24" s="246"/>
      <c r="RHW24" s="246"/>
      <c r="RHX24" s="246"/>
      <c r="RHY24" s="246"/>
      <c r="RHZ24" s="246"/>
      <c r="RIA24" s="246"/>
      <c r="RIB24" s="246"/>
      <c r="RIC24" s="246"/>
      <c r="RID24" s="246"/>
      <c r="RIE24" s="246"/>
      <c r="RIF24" s="246"/>
      <c r="RIG24" s="246"/>
      <c r="RIH24" s="246"/>
      <c r="RII24" s="246"/>
      <c r="RIJ24" s="246"/>
      <c r="RIK24" s="246"/>
      <c r="RIL24" s="246"/>
      <c r="RIM24" s="246"/>
      <c r="RIN24" s="246"/>
      <c r="RIO24" s="246"/>
      <c r="RIP24" s="246"/>
      <c r="RIQ24" s="246"/>
      <c r="RIR24" s="246"/>
      <c r="RIS24" s="246"/>
      <c r="RIT24" s="246"/>
      <c r="RIU24" s="246"/>
      <c r="RIV24" s="246"/>
      <c r="RIW24" s="246"/>
      <c r="RIX24" s="246"/>
      <c r="RIY24" s="246"/>
      <c r="RIZ24" s="246"/>
      <c r="RJA24" s="246"/>
      <c r="RJB24" s="246"/>
      <c r="RJC24" s="246"/>
      <c r="RJD24" s="246"/>
      <c r="RJE24" s="246"/>
      <c r="RJF24" s="246"/>
      <c r="RJG24" s="246"/>
      <c r="RJH24" s="246"/>
      <c r="RJI24" s="246"/>
      <c r="RJJ24" s="246"/>
      <c r="RJK24" s="246"/>
      <c r="RJL24" s="246"/>
      <c r="RJM24" s="246"/>
      <c r="RJN24" s="246"/>
      <c r="RJO24" s="246"/>
      <c r="RJP24" s="246"/>
      <c r="RJQ24" s="246"/>
      <c r="RJR24" s="246"/>
      <c r="RJS24" s="246"/>
      <c r="RJT24" s="246"/>
      <c r="RJU24" s="246"/>
      <c r="RJV24" s="246"/>
      <c r="RJW24" s="246"/>
      <c r="RJX24" s="246"/>
      <c r="RJY24" s="246"/>
      <c r="RJZ24" s="246"/>
      <c r="RKA24" s="246"/>
      <c r="RKB24" s="246"/>
      <c r="RKC24" s="246"/>
      <c r="RKD24" s="246"/>
      <c r="RKE24" s="246"/>
      <c r="RKF24" s="246"/>
      <c r="RKG24" s="246"/>
      <c r="RKH24" s="246"/>
      <c r="RKI24" s="246"/>
      <c r="RKJ24" s="246"/>
      <c r="RKK24" s="246"/>
      <c r="RKL24" s="246"/>
      <c r="RKM24" s="246"/>
      <c r="RKN24" s="246"/>
      <c r="RKO24" s="246"/>
      <c r="RKP24" s="246"/>
      <c r="RKQ24" s="246"/>
      <c r="RKR24" s="246"/>
      <c r="RKS24" s="246"/>
      <c r="RKT24" s="246"/>
      <c r="RKU24" s="246"/>
      <c r="RKV24" s="246"/>
      <c r="RKW24" s="246"/>
      <c r="RKX24" s="246"/>
      <c r="RKY24" s="246"/>
      <c r="RKZ24" s="246"/>
      <c r="RLA24" s="246"/>
      <c r="RLB24" s="246"/>
      <c r="RLC24" s="246"/>
      <c r="RLD24" s="246"/>
      <c r="RLE24" s="246"/>
      <c r="RLF24" s="246"/>
      <c r="RLG24" s="246"/>
      <c r="RLH24" s="246"/>
      <c r="RLI24" s="246"/>
      <c r="RLJ24" s="246"/>
      <c r="RLK24" s="246"/>
      <c r="RLL24" s="246"/>
      <c r="RLM24" s="246"/>
      <c r="RLN24" s="246"/>
      <c r="RLO24" s="246"/>
      <c r="RLP24" s="246"/>
      <c r="RLQ24" s="246"/>
      <c r="RLR24" s="246"/>
      <c r="RLS24" s="246"/>
      <c r="RLT24" s="246"/>
      <c r="RLU24" s="246"/>
      <c r="RLV24" s="246"/>
      <c r="RLW24" s="246"/>
      <c r="RLX24" s="246"/>
      <c r="RLY24" s="246"/>
      <c r="RLZ24" s="246"/>
      <c r="RMA24" s="246"/>
      <c r="RMB24" s="246"/>
      <c r="RMC24" s="246"/>
      <c r="RMD24" s="246"/>
      <c r="RME24" s="246"/>
      <c r="RMF24" s="246"/>
      <c r="RMG24" s="246"/>
      <c r="RMH24" s="246"/>
      <c r="RMI24" s="246"/>
      <c r="RMJ24" s="246"/>
      <c r="RMK24" s="246"/>
      <c r="RML24" s="246"/>
      <c r="RMM24" s="246"/>
      <c r="RMN24" s="246"/>
      <c r="RMO24" s="246"/>
      <c r="RMP24" s="246"/>
      <c r="RMQ24" s="246"/>
      <c r="RMR24" s="246"/>
      <c r="RMS24" s="246"/>
      <c r="RMT24" s="246"/>
      <c r="RMU24" s="246"/>
      <c r="RMV24" s="246"/>
      <c r="RMW24" s="246"/>
      <c r="RMX24" s="246"/>
      <c r="RMY24" s="246"/>
      <c r="RMZ24" s="246"/>
      <c r="RNA24" s="246"/>
      <c r="RNB24" s="246"/>
      <c r="RNC24" s="246"/>
      <c r="RND24" s="246"/>
      <c r="RNE24" s="246"/>
      <c r="RNF24" s="246"/>
      <c r="RNG24" s="246"/>
      <c r="RNH24" s="246"/>
      <c r="RNI24" s="246"/>
      <c r="RNJ24" s="246"/>
      <c r="RNK24" s="246"/>
      <c r="RNL24" s="246"/>
      <c r="RNM24" s="246"/>
      <c r="RNN24" s="246"/>
      <c r="RNO24" s="246"/>
      <c r="RNP24" s="246"/>
      <c r="RNQ24" s="246"/>
      <c r="RNR24" s="246"/>
      <c r="RNS24" s="246"/>
      <c r="RNT24" s="246"/>
      <c r="RNU24" s="246"/>
      <c r="RNV24" s="246"/>
      <c r="RNW24" s="246"/>
      <c r="RNX24" s="246"/>
      <c r="RNY24" s="246"/>
      <c r="RNZ24" s="246"/>
      <c r="ROA24" s="246"/>
      <c r="ROB24" s="246"/>
      <c r="ROC24" s="246"/>
      <c r="ROD24" s="246"/>
      <c r="ROE24" s="246"/>
      <c r="ROF24" s="246"/>
      <c r="ROG24" s="246"/>
      <c r="ROH24" s="246"/>
      <c r="ROI24" s="246"/>
      <c r="ROJ24" s="246"/>
      <c r="ROK24" s="246"/>
      <c r="ROL24" s="246"/>
      <c r="ROM24" s="246"/>
      <c r="RON24" s="246"/>
      <c r="ROO24" s="246"/>
      <c r="ROP24" s="246"/>
      <c r="ROQ24" s="246"/>
      <c r="ROR24" s="246"/>
      <c r="ROS24" s="246"/>
      <c r="ROT24" s="246"/>
      <c r="ROU24" s="246"/>
      <c r="ROV24" s="246"/>
      <c r="ROW24" s="246"/>
      <c r="ROX24" s="246"/>
      <c r="ROY24" s="246"/>
      <c r="ROZ24" s="246"/>
      <c r="RPA24" s="246"/>
      <c r="RPB24" s="246"/>
      <c r="RPC24" s="246"/>
      <c r="RPD24" s="246"/>
      <c r="RPE24" s="246"/>
      <c r="RPF24" s="246"/>
      <c r="RPG24" s="246"/>
      <c r="RPH24" s="246"/>
      <c r="RPI24" s="246"/>
      <c r="RPJ24" s="246"/>
      <c r="RPK24" s="246"/>
      <c r="RPL24" s="246"/>
      <c r="RPM24" s="246"/>
      <c r="RPN24" s="246"/>
      <c r="RPO24" s="246"/>
      <c r="RPP24" s="246"/>
      <c r="RPQ24" s="246"/>
      <c r="RPR24" s="246"/>
      <c r="RPS24" s="246"/>
      <c r="RPT24" s="246"/>
      <c r="RPU24" s="246"/>
      <c r="RPV24" s="246"/>
      <c r="RPW24" s="246"/>
      <c r="RPX24" s="246"/>
      <c r="RPY24" s="246"/>
      <c r="RPZ24" s="246"/>
      <c r="RQA24" s="246"/>
      <c r="RQB24" s="246"/>
      <c r="RQC24" s="246"/>
      <c r="RQD24" s="246"/>
      <c r="RQE24" s="246"/>
      <c r="RQF24" s="246"/>
      <c r="RQG24" s="246"/>
      <c r="RQH24" s="246"/>
      <c r="RQI24" s="246"/>
      <c r="RQJ24" s="246"/>
      <c r="RQK24" s="246"/>
      <c r="RQL24" s="246"/>
      <c r="RQM24" s="246"/>
      <c r="RQN24" s="246"/>
      <c r="RQO24" s="246"/>
      <c r="RQP24" s="246"/>
      <c r="RQQ24" s="246"/>
      <c r="RQR24" s="246"/>
      <c r="RQS24" s="246"/>
      <c r="RQT24" s="246"/>
      <c r="RQU24" s="246"/>
      <c r="RQV24" s="246"/>
      <c r="RQW24" s="246"/>
      <c r="RQX24" s="246"/>
      <c r="RQY24" s="246"/>
      <c r="RQZ24" s="246"/>
      <c r="RRA24" s="246"/>
      <c r="RRB24" s="246"/>
      <c r="RRC24" s="246"/>
      <c r="RRD24" s="246"/>
      <c r="RRE24" s="246"/>
      <c r="RRF24" s="246"/>
      <c r="RRG24" s="246"/>
      <c r="RRH24" s="246"/>
      <c r="RRI24" s="246"/>
      <c r="RRJ24" s="246"/>
      <c r="RRK24" s="246"/>
      <c r="RRL24" s="246"/>
      <c r="RRM24" s="246"/>
      <c r="RRN24" s="246"/>
      <c r="RRO24" s="246"/>
      <c r="RRP24" s="246"/>
      <c r="RRQ24" s="246"/>
      <c r="RRR24" s="246"/>
      <c r="RRS24" s="246"/>
      <c r="RRT24" s="246"/>
      <c r="RRU24" s="246"/>
      <c r="RRV24" s="246"/>
      <c r="RRW24" s="246"/>
      <c r="RRX24" s="246"/>
      <c r="RRY24" s="246"/>
      <c r="RRZ24" s="246"/>
      <c r="RSA24" s="246"/>
      <c r="RSB24" s="246"/>
      <c r="RSC24" s="246"/>
      <c r="RSD24" s="246"/>
      <c r="RSE24" s="246"/>
      <c r="RSF24" s="246"/>
      <c r="RSG24" s="246"/>
      <c r="RSH24" s="246"/>
      <c r="RSI24" s="246"/>
      <c r="RSJ24" s="246"/>
      <c r="RSK24" s="246"/>
      <c r="RSL24" s="246"/>
      <c r="RSM24" s="246"/>
      <c r="RSN24" s="246"/>
      <c r="RSO24" s="246"/>
      <c r="RSP24" s="246"/>
      <c r="RSQ24" s="246"/>
      <c r="RSR24" s="246"/>
      <c r="RSS24" s="246"/>
      <c r="RST24" s="246"/>
      <c r="RSU24" s="246"/>
      <c r="RSV24" s="246"/>
      <c r="RSW24" s="246"/>
      <c r="RSX24" s="246"/>
      <c r="RSY24" s="246"/>
      <c r="RSZ24" s="246"/>
      <c r="RTA24" s="246"/>
      <c r="RTB24" s="246"/>
      <c r="RTC24" s="246"/>
      <c r="RTD24" s="246"/>
      <c r="RTE24" s="246"/>
      <c r="RTF24" s="246"/>
      <c r="RTG24" s="246"/>
      <c r="RTH24" s="246"/>
      <c r="RTI24" s="246"/>
      <c r="RTJ24" s="246"/>
      <c r="RTK24" s="246"/>
      <c r="RTL24" s="246"/>
      <c r="RTM24" s="246"/>
      <c r="RTN24" s="246"/>
      <c r="RTO24" s="246"/>
      <c r="RTP24" s="246"/>
      <c r="RTQ24" s="246"/>
      <c r="RTR24" s="246"/>
      <c r="RTS24" s="246"/>
      <c r="RTT24" s="246"/>
      <c r="RTU24" s="246"/>
      <c r="RTV24" s="246"/>
      <c r="RTW24" s="246"/>
      <c r="RTX24" s="246"/>
      <c r="RTY24" s="246"/>
      <c r="RTZ24" s="246"/>
      <c r="RUA24" s="246"/>
      <c r="RUB24" s="246"/>
      <c r="RUC24" s="246"/>
      <c r="RUD24" s="246"/>
      <c r="RUE24" s="246"/>
      <c r="RUF24" s="246"/>
      <c r="RUG24" s="246"/>
      <c r="RUH24" s="246"/>
      <c r="RUI24" s="246"/>
      <c r="RUJ24" s="246"/>
      <c r="RUK24" s="246"/>
      <c r="RUL24" s="246"/>
      <c r="RUM24" s="246"/>
      <c r="RUN24" s="246"/>
      <c r="RUO24" s="246"/>
      <c r="RUP24" s="246"/>
      <c r="RUQ24" s="246"/>
      <c r="RUR24" s="246"/>
      <c r="RUS24" s="246"/>
      <c r="RUT24" s="246"/>
      <c r="RUU24" s="246"/>
      <c r="RUV24" s="246"/>
      <c r="RUW24" s="246"/>
      <c r="RUX24" s="246"/>
      <c r="RUY24" s="246"/>
      <c r="RUZ24" s="246"/>
      <c r="RVA24" s="246"/>
      <c r="RVB24" s="246"/>
      <c r="RVC24" s="246"/>
      <c r="RVD24" s="246"/>
      <c r="RVE24" s="246"/>
      <c r="RVF24" s="246"/>
      <c r="RVG24" s="246"/>
      <c r="RVH24" s="246"/>
      <c r="RVI24" s="246"/>
      <c r="RVJ24" s="246"/>
      <c r="RVK24" s="246"/>
      <c r="RVL24" s="246"/>
      <c r="RVM24" s="246"/>
      <c r="RVN24" s="246"/>
      <c r="RVO24" s="246"/>
      <c r="RVP24" s="246"/>
      <c r="RVQ24" s="246"/>
      <c r="RVR24" s="246"/>
      <c r="RVS24" s="246"/>
      <c r="RVT24" s="246"/>
      <c r="RVU24" s="246"/>
      <c r="RVV24" s="246"/>
      <c r="RVW24" s="246"/>
      <c r="RVX24" s="246"/>
      <c r="RVY24" s="246"/>
      <c r="RVZ24" s="246"/>
      <c r="RWA24" s="246"/>
      <c r="RWB24" s="246"/>
      <c r="RWC24" s="246"/>
      <c r="RWD24" s="246"/>
      <c r="RWE24" s="246"/>
      <c r="RWF24" s="246"/>
      <c r="RWG24" s="246"/>
      <c r="RWH24" s="246"/>
      <c r="RWI24" s="246"/>
      <c r="RWJ24" s="246"/>
      <c r="RWK24" s="246"/>
      <c r="RWL24" s="246"/>
      <c r="RWM24" s="246"/>
      <c r="RWN24" s="246"/>
      <c r="RWO24" s="246"/>
      <c r="RWP24" s="246"/>
      <c r="RWQ24" s="246"/>
      <c r="RWR24" s="246"/>
      <c r="RWS24" s="246"/>
      <c r="RWT24" s="246"/>
      <c r="RWU24" s="246"/>
      <c r="RWV24" s="246"/>
      <c r="RWW24" s="246"/>
      <c r="RWX24" s="246"/>
      <c r="RWY24" s="246"/>
      <c r="RWZ24" s="246"/>
      <c r="RXA24" s="246"/>
      <c r="RXB24" s="246"/>
      <c r="RXC24" s="246"/>
      <c r="RXD24" s="246"/>
      <c r="RXE24" s="246"/>
      <c r="RXF24" s="246"/>
      <c r="RXG24" s="246"/>
      <c r="RXH24" s="246"/>
      <c r="RXI24" s="246"/>
      <c r="RXJ24" s="246"/>
      <c r="RXK24" s="246"/>
      <c r="RXL24" s="246"/>
      <c r="RXM24" s="246"/>
      <c r="RXN24" s="246"/>
      <c r="RXO24" s="246"/>
      <c r="RXP24" s="246"/>
      <c r="RXQ24" s="246"/>
      <c r="RXR24" s="246"/>
      <c r="RXS24" s="246"/>
      <c r="RXT24" s="246"/>
      <c r="RXU24" s="246"/>
      <c r="RXV24" s="246"/>
      <c r="RXW24" s="246"/>
      <c r="RXX24" s="246"/>
      <c r="RXY24" s="246"/>
      <c r="RXZ24" s="246"/>
      <c r="RYA24" s="246"/>
      <c r="RYB24" s="246"/>
      <c r="RYC24" s="246"/>
      <c r="RYD24" s="246"/>
      <c r="RYE24" s="246"/>
      <c r="RYF24" s="246"/>
      <c r="RYG24" s="246"/>
      <c r="RYH24" s="246"/>
      <c r="RYI24" s="246"/>
      <c r="RYJ24" s="246"/>
      <c r="RYK24" s="246"/>
      <c r="RYL24" s="246"/>
      <c r="RYM24" s="246"/>
      <c r="RYN24" s="246"/>
      <c r="RYO24" s="246"/>
      <c r="RYP24" s="246"/>
      <c r="RYQ24" s="246"/>
      <c r="RYR24" s="246"/>
      <c r="RYS24" s="246"/>
      <c r="RYT24" s="246"/>
      <c r="RYU24" s="246"/>
      <c r="RYV24" s="246"/>
      <c r="RYW24" s="246"/>
      <c r="RYX24" s="246"/>
      <c r="RYY24" s="246"/>
      <c r="RYZ24" s="246"/>
      <c r="RZA24" s="246"/>
      <c r="RZB24" s="246"/>
      <c r="RZC24" s="246"/>
      <c r="RZD24" s="246"/>
      <c r="RZE24" s="246"/>
      <c r="RZF24" s="246"/>
      <c r="RZG24" s="246"/>
      <c r="RZH24" s="246"/>
      <c r="RZI24" s="246"/>
      <c r="RZJ24" s="246"/>
      <c r="RZK24" s="246"/>
      <c r="RZL24" s="246"/>
      <c r="RZM24" s="246"/>
      <c r="RZN24" s="246"/>
      <c r="RZO24" s="246"/>
      <c r="RZP24" s="246"/>
      <c r="RZQ24" s="246"/>
      <c r="RZR24" s="246"/>
      <c r="RZS24" s="246"/>
      <c r="RZT24" s="246"/>
      <c r="RZU24" s="246"/>
      <c r="RZV24" s="246"/>
      <c r="RZW24" s="246"/>
      <c r="RZX24" s="246"/>
      <c r="RZY24" s="246"/>
      <c r="RZZ24" s="246"/>
      <c r="SAA24" s="246"/>
      <c r="SAB24" s="246"/>
      <c r="SAC24" s="246"/>
      <c r="SAD24" s="246"/>
      <c r="SAE24" s="246"/>
      <c r="SAF24" s="246"/>
      <c r="SAG24" s="246"/>
      <c r="SAH24" s="246"/>
      <c r="SAI24" s="246"/>
      <c r="SAJ24" s="246"/>
      <c r="SAK24" s="246"/>
      <c r="SAL24" s="246"/>
      <c r="SAM24" s="246"/>
      <c r="SAN24" s="246"/>
      <c r="SAO24" s="246"/>
      <c r="SAP24" s="246"/>
      <c r="SAQ24" s="246"/>
      <c r="SAR24" s="246"/>
      <c r="SAS24" s="246"/>
      <c r="SAT24" s="246"/>
      <c r="SAU24" s="246"/>
      <c r="SAV24" s="246"/>
      <c r="SAW24" s="246"/>
      <c r="SAX24" s="246"/>
      <c r="SAY24" s="246"/>
      <c r="SAZ24" s="246"/>
      <c r="SBA24" s="246"/>
      <c r="SBB24" s="246"/>
      <c r="SBC24" s="246"/>
      <c r="SBD24" s="246"/>
      <c r="SBE24" s="246"/>
      <c r="SBF24" s="246"/>
      <c r="SBG24" s="246"/>
      <c r="SBH24" s="246"/>
      <c r="SBI24" s="246"/>
      <c r="SBJ24" s="246"/>
      <c r="SBK24" s="246"/>
      <c r="SBL24" s="246"/>
      <c r="SBM24" s="246"/>
      <c r="SBN24" s="246"/>
      <c r="SBO24" s="246"/>
      <c r="SBP24" s="246"/>
      <c r="SBQ24" s="246"/>
      <c r="SBR24" s="246"/>
      <c r="SBS24" s="246"/>
      <c r="SBT24" s="246"/>
      <c r="SBU24" s="246"/>
      <c r="SBV24" s="246"/>
      <c r="SBW24" s="246"/>
      <c r="SBX24" s="246"/>
      <c r="SBY24" s="246"/>
      <c r="SBZ24" s="246"/>
      <c r="SCA24" s="246"/>
      <c r="SCB24" s="246"/>
      <c r="SCC24" s="246"/>
      <c r="SCD24" s="246"/>
      <c r="SCE24" s="246"/>
      <c r="SCF24" s="246"/>
      <c r="SCG24" s="246"/>
      <c r="SCH24" s="246"/>
      <c r="SCI24" s="246"/>
      <c r="SCJ24" s="246"/>
      <c r="SCK24" s="246"/>
      <c r="SCL24" s="246"/>
      <c r="SCM24" s="246"/>
      <c r="SCN24" s="246"/>
      <c r="SCO24" s="246"/>
      <c r="SCP24" s="246"/>
      <c r="SCQ24" s="246"/>
      <c r="SCR24" s="246"/>
      <c r="SCS24" s="246"/>
      <c r="SCT24" s="246"/>
      <c r="SCU24" s="246"/>
      <c r="SCV24" s="246"/>
      <c r="SCW24" s="246"/>
      <c r="SCX24" s="246"/>
      <c r="SCY24" s="246"/>
      <c r="SCZ24" s="246"/>
      <c r="SDA24" s="246"/>
      <c r="SDB24" s="246"/>
      <c r="SDC24" s="246"/>
      <c r="SDD24" s="246"/>
      <c r="SDE24" s="246"/>
      <c r="SDF24" s="246"/>
      <c r="SDG24" s="246"/>
      <c r="SDH24" s="246"/>
      <c r="SDI24" s="246"/>
      <c r="SDJ24" s="246"/>
      <c r="SDK24" s="246"/>
      <c r="SDL24" s="246"/>
      <c r="SDM24" s="246"/>
      <c r="SDN24" s="246"/>
      <c r="SDO24" s="246"/>
      <c r="SDP24" s="246"/>
      <c r="SDQ24" s="246"/>
      <c r="SDR24" s="246"/>
      <c r="SDS24" s="246"/>
      <c r="SDT24" s="246"/>
      <c r="SDU24" s="246"/>
      <c r="SDV24" s="246"/>
      <c r="SDW24" s="246"/>
      <c r="SDX24" s="246"/>
      <c r="SDY24" s="246"/>
      <c r="SDZ24" s="246"/>
      <c r="SEA24" s="246"/>
      <c r="SEB24" s="246"/>
      <c r="SEC24" s="246"/>
      <c r="SED24" s="246"/>
      <c r="SEE24" s="246"/>
      <c r="SEF24" s="246"/>
      <c r="SEG24" s="246"/>
      <c r="SEH24" s="246"/>
      <c r="SEI24" s="246"/>
      <c r="SEJ24" s="246"/>
      <c r="SEK24" s="246"/>
      <c r="SEL24" s="246"/>
      <c r="SEM24" s="246"/>
      <c r="SEN24" s="246"/>
      <c r="SEO24" s="246"/>
      <c r="SEP24" s="246"/>
      <c r="SEQ24" s="246"/>
      <c r="SER24" s="246"/>
      <c r="SES24" s="246"/>
      <c r="SET24" s="246"/>
      <c r="SEU24" s="246"/>
      <c r="SEV24" s="246"/>
      <c r="SEW24" s="246"/>
      <c r="SEX24" s="246"/>
      <c r="SEY24" s="246"/>
      <c r="SEZ24" s="246"/>
      <c r="SFA24" s="246"/>
      <c r="SFB24" s="246"/>
      <c r="SFC24" s="246"/>
      <c r="SFD24" s="246"/>
      <c r="SFE24" s="246"/>
      <c r="SFF24" s="246"/>
      <c r="SFG24" s="246"/>
      <c r="SFH24" s="246"/>
      <c r="SFI24" s="246"/>
      <c r="SFJ24" s="246"/>
      <c r="SFK24" s="246"/>
      <c r="SFL24" s="246"/>
      <c r="SFM24" s="246"/>
      <c r="SFN24" s="246"/>
      <c r="SFO24" s="246"/>
      <c r="SFP24" s="246"/>
      <c r="SFQ24" s="246"/>
      <c r="SFR24" s="246"/>
      <c r="SFS24" s="246"/>
      <c r="SFT24" s="246"/>
      <c r="SFU24" s="246"/>
      <c r="SFV24" s="246"/>
      <c r="SFW24" s="246"/>
      <c r="SFX24" s="246"/>
      <c r="SFY24" s="246"/>
      <c r="SFZ24" s="246"/>
      <c r="SGA24" s="246"/>
      <c r="SGB24" s="246"/>
      <c r="SGC24" s="246"/>
      <c r="SGD24" s="246"/>
      <c r="SGE24" s="246"/>
      <c r="SGF24" s="246"/>
      <c r="SGG24" s="246"/>
      <c r="SGH24" s="246"/>
      <c r="SGI24" s="246"/>
      <c r="SGJ24" s="246"/>
      <c r="SGK24" s="246"/>
      <c r="SGL24" s="246"/>
      <c r="SGM24" s="246"/>
      <c r="SGN24" s="246"/>
      <c r="SGO24" s="246"/>
      <c r="SGP24" s="246"/>
      <c r="SGQ24" s="246"/>
      <c r="SGR24" s="246"/>
      <c r="SGS24" s="246"/>
      <c r="SGT24" s="246"/>
      <c r="SGU24" s="246"/>
      <c r="SGV24" s="246"/>
      <c r="SGW24" s="246"/>
      <c r="SGX24" s="246"/>
      <c r="SGY24" s="246"/>
      <c r="SGZ24" s="246"/>
      <c r="SHA24" s="246"/>
      <c r="SHB24" s="246"/>
      <c r="SHC24" s="246"/>
      <c r="SHD24" s="246"/>
      <c r="SHE24" s="246"/>
      <c r="SHF24" s="246"/>
      <c r="SHG24" s="246"/>
      <c r="SHH24" s="246"/>
      <c r="SHI24" s="246"/>
      <c r="SHJ24" s="246"/>
      <c r="SHK24" s="246"/>
      <c r="SHL24" s="246"/>
      <c r="SHM24" s="246"/>
      <c r="SHN24" s="246"/>
      <c r="SHO24" s="246"/>
      <c r="SHP24" s="246"/>
      <c r="SHQ24" s="246"/>
      <c r="SHR24" s="246"/>
      <c r="SHS24" s="246"/>
      <c r="SHT24" s="246"/>
      <c r="SHU24" s="246"/>
      <c r="SHV24" s="246"/>
      <c r="SHW24" s="246"/>
      <c r="SHX24" s="246"/>
      <c r="SHY24" s="246"/>
      <c r="SHZ24" s="246"/>
      <c r="SIA24" s="246"/>
      <c r="SIB24" s="246"/>
      <c r="SIC24" s="246"/>
      <c r="SID24" s="246"/>
      <c r="SIE24" s="246"/>
      <c r="SIF24" s="246"/>
      <c r="SIG24" s="246"/>
      <c r="SIH24" s="246"/>
      <c r="SII24" s="246"/>
      <c r="SIJ24" s="246"/>
      <c r="SIK24" s="246"/>
      <c r="SIL24" s="246"/>
      <c r="SIM24" s="246"/>
      <c r="SIN24" s="246"/>
      <c r="SIO24" s="246"/>
      <c r="SIP24" s="246"/>
      <c r="SIQ24" s="246"/>
      <c r="SIR24" s="246"/>
      <c r="SIS24" s="246"/>
      <c r="SIT24" s="246"/>
      <c r="SIU24" s="246"/>
      <c r="SIV24" s="246"/>
      <c r="SIW24" s="246"/>
      <c r="SIX24" s="246"/>
      <c r="SIY24" s="246"/>
      <c r="SIZ24" s="246"/>
      <c r="SJA24" s="246"/>
      <c r="SJB24" s="246"/>
      <c r="SJC24" s="246"/>
      <c r="SJD24" s="246"/>
      <c r="SJE24" s="246"/>
      <c r="SJF24" s="246"/>
      <c r="SJG24" s="246"/>
      <c r="SJH24" s="246"/>
      <c r="SJI24" s="246"/>
      <c r="SJJ24" s="246"/>
      <c r="SJK24" s="246"/>
      <c r="SJL24" s="246"/>
      <c r="SJM24" s="246"/>
      <c r="SJN24" s="246"/>
      <c r="SJO24" s="246"/>
      <c r="SJP24" s="246"/>
      <c r="SJQ24" s="246"/>
      <c r="SJR24" s="246"/>
      <c r="SJS24" s="246"/>
      <c r="SJT24" s="246"/>
      <c r="SJU24" s="246"/>
      <c r="SJV24" s="246"/>
      <c r="SJW24" s="246"/>
      <c r="SJX24" s="246"/>
      <c r="SJY24" s="246"/>
      <c r="SJZ24" s="246"/>
      <c r="SKA24" s="246"/>
      <c r="SKB24" s="246"/>
      <c r="SKC24" s="246"/>
      <c r="SKD24" s="246"/>
      <c r="SKE24" s="246"/>
      <c r="SKF24" s="246"/>
      <c r="SKG24" s="246"/>
      <c r="SKH24" s="246"/>
      <c r="SKI24" s="246"/>
      <c r="SKJ24" s="246"/>
      <c r="SKK24" s="246"/>
      <c r="SKL24" s="246"/>
      <c r="SKM24" s="246"/>
      <c r="SKN24" s="246"/>
      <c r="SKO24" s="246"/>
      <c r="SKP24" s="246"/>
      <c r="SKQ24" s="246"/>
      <c r="SKR24" s="246"/>
      <c r="SKS24" s="246"/>
      <c r="SKT24" s="246"/>
      <c r="SKU24" s="246"/>
      <c r="SKV24" s="246"/>
      <c r="SKW24" s="246"/>
      <c r="SKX24" s="246"/>
      <c r="SKY24" s="246"/>
      <c r="SKZ24" s="246"/>
      <c r="SLA24" s="246"/>
      <c r="SLB24" s="246"/>
      <c r="SLC24" s="246"/>
      <c r="SLD24" s="246"/>
      <c r="SLE24" s="246"/>
      <c r="SLF24" s="246"/>
      <c r="SLG24" s="246"/>
      <c r="SLH24" s="246"/>
      <c r="SLI24" s="246"/>
      <c r="SLJ24" s="246"/>
      <c r="SLK24" s="246"/>
      <c r="SLL24" s="246"/>
      <c r="SLM24" s="246"/>
      <c r="SLN24" s="246"/>
      <c r="SLO24" s="246"/>
      <c r="SLP24" s="246"/>
      <c r="SLQ24" s="246"/>
      <c r="SLR24" s="246"/>
      <c r="SLS24" s="246"/>
      <c r="SLT24" s="246"/>
      <c r="SLU24" s="246"/>
      <c r="SLV24" s="246"/>
      <c r="SLW24" s="246"/>
      <c r="SLX24" s="246"/>
      <c r="SLY24" s="246"/>
      <c r="SLZ24" s="246"/>
      <c r="SMA24" s="246"/>
      <c r="SMB24" s="246"/>
      <c r="SMC24" s="246"/>
      <c r="SMD24" s="246"/>
      <c r="SME24" s="246"/>
      <c r="SMF24" s="246"/>
      <c r="SMG24" s="246"/>
      <c r="SMH24" s="246"/>
      <c r="SMI24" s="246"/>
      <c r="SMJ24" s="246"/>
      <c r="SMK24" s="246"/>
      <c r="SML24" s="246"/>
      <c r="SMM24" s="246"/>
      <c r="SMN24" s="246"/>
      <c r="SMO24" s="246"/>
      <c r="SMP24" s="246"/>
      <c r="SMQ24" s="246"/>
      <c r="SMR24" s="246"/>
      <c r="SMS24" s="246"/>
      <c r="SMT24" s="246"/>
      <c r="SMU24" s="246"/>
      <c r="SMV24" s="246"/>
      <c r="SMW24" s="246"/>
      <c r="SMX24" s="246"/>
      <c r="SMY24" s="246"/>
      <c r="SMZ24" s="246"/>
      <c r="SNA24" s="246"/>
      <c r="SNB24" s="246"/>
      <c r="SNC24" s="246"/>
      <c r="SND24" s="246"/>
      <c r="SNE24" s="246"/>
      <c r="SNF24" s="246"/>
      <c r="SNG24" s="246"/>
      <c r="SNH24" s="246"/>
      <c r="SNI24" s="246"/>
      <c r="SNJ24" s="246"/>
      <c r="SNK24" s="246"/>
      <c r="SNL24" s="246"/>
      <c r="SNM24" s="246"/>
      <c r="SNN24" s="246"/>
      <c r="SNO24" s="246"/>
      <c r="SNP24" s="246"/>
      <c r="SNQ24" s="246"/>
      <c r="SNR24" s="246"/>
      <c r="SNS24" s="246"/>
      <c r="SNT24" s="246"/>
      <c r="SNU24" s="246"/>
      <c r="SNV24" s="246"/>
      <c r="SNW24" s="246"/>
      <c r="SNX24" s="246"/>
      <c r="SNY24" s="246"/>
      <c r="SNZ24" s="246"/>
      <c r="SOA24" s="246"/>
      <c r="SOB24" s="246"/>
      <c r="SOC24" s="246"/>
      <c r="SOD24" s="246"/>
      <c r="SOE24" s="246"/>
      <c r="SOF24" s="246"/>
      <c r="SOG24" s="246"/>
      <c r="SOH24" s="246"/>
      <c r="SOI24" s="246"/>
      <c r="SOJ24" s="246"/>
      <c r="SOK24" s="246"/>
      <c r="SOL24" s="246"/>
      <c r="SOM24" s="246"/>
      <c r="SON24" s="246"/>
      <c r="SOO24" s="246"/>
      <c r="SOP24" s="246"/>
      <c r="SOQ24" s="246"/>
      <c r="SOR24" s="246"/>
      <c r="SOS24" s="246"/>
      <c r="SOT24" s="246"/>
      <c r="SOU24" s="246"/>
      <c r="SOV24" s="246"/>
      <c r="SOW24" s="246"/>
      <c r="SOX24" s="246"/>
      <c r="SOY24" s="246"/>
      <c r="SOZ24" s="246"/>
      <c r="SPA24" s="246"/>
      <c r="SPB24" s="246"/>
      <c r="SPC24" s="246"/>
      <c r="SPD24" s="246"/>
      <c r="SPE24" s="246"/>
      <c r="SPF24" s="246"/>
      <c r="SPG24" s="246"/>
      <c r="SPH24" s="246"/>
      <c r="SPI24" s="246"/>
      <c r="SPJ24" s="246"/>
      <c r="SPK24" s="246"/>
      <c r="SPL24" s="246"/>
      <c r="SPM24" s="246"/>
      <c r="SPN24" s="246"/>
      <c r="SPO24" s="246"/>
      <c r="SPP24" s="246"/>
      <c r="SPQ24" s="246"/>
      <c r="SPR24" s="246"/>
      <c r="SPS24" s="246"/>
      <c r="SPT24" s="246"/>
      <c r="SPU24" s="246"/>
      <c r="SPV24" s="246"/>
      <c r="SPW24" s="246"/>
      <c r="SPX24" s="246"/>
      <c r="SPY24" s="246"/>
      <c r="SPZ24" s="246"/>
      <c r="SQA24" s="246"/>
      <c r="SQB24" s="246"/>
      <c r="SQC24" s="246"/>
      <c r="SQD24" s="246"/>
      <c r="SQE24" s="246"/>
      <c r="SQF24" s="246"/>
      <c r="SQG24" s="246"/>
      <c r="SQH24" s="246"/>
      <c r="SQI24" s="246"/>
      <c r="SQJ24" s="246"/>
      <c r="SQK24" s="246"/>
      <c r="SQL24" s="246"/>
      <c r="SQM24" s="246"/>
      <c r="SQN24" s="246"/>
      <c r="SQO24" s="246"/>
      <c r="SQP24" s="246"/>
      <c r="SQQ24" s="246"/>
      <c r="SQR24" s="246"/>
      <c r="SQS24" s="246"/>
      <c r="SQT24" s="246"/>
      <c r="SQU24" s="246"/>
      <c r="SQV24" s="246"/>
      <c r="SQW24" s="246"/>
      <c r="SQX24" s="246"/>
      <c r="SQY24" s="246"/>
      <c r="SQZ24" s="246"/>
      <c r="SRA24" s="246"/>
      <c r="SRB24" s="246"/>
      <c r="SRC24" s="246"/>
      <c r="SRD24" s="246"/>
      <c r="SRE24" s="246"/>
      <c r="SRF24" s="246"/>
      <c r="SRG24" s="246"/>
      <c r="SRH24" s="246"/>
      <c r="SRI24" s="246"/>
      <c r="SRJ24" s="246"/>
      <c r="SRK24" s="246"/>
      <c r="SRL24" s="246"/>
      <c r="SRM24" s="246"/>
      <c r="SRN24" s="246"/>
      <c r="SRO24" s="246"/>
      <c r="SRP24" s="246"/>
      <c r="SRQ24" s="246"/>
      <c r="SRR24" s="246"/>
      <c r="SRS24" s="246"/>
      <c r="SRT24" s="246"/>
      <c r="SRU24" s="246"/>
      <c r="SRV24" s="246"/>
      <c r="SRW24" s="246"/>
      <c r="SRX24" s="246"/>
      <c r="SRY24" s="246"/>
      <c r="SRZ24" s="246"/>
      <c r="SSA24" s="246"/>
      <c r="SSB24" s="246"/>
      <c r="SSC24" s="246"/>
      <c r="SSD24" s="246"/>
      <c r="SSE24" s="246"/>
      <c r="SSF24" s="246"/>
      <c r="SSG24" s="246"/>
      <c r="SSH24" s="246"/>
      <c r="SSI24" s="246"/>
      <c r="SSJ24" s="246"/>
      <c r="SSK24" s="246"/>
      <c r="SSL24" s="246"/>
      <c r="SSM24" s="246"/>
      <c r="SSN24" s="246"/>
      <c r="SSO24" s="246"/>
      <c r="SSP24" s="246"/>
      <c r="SSQ24" s="246"/>
      <c r="SSR24" s="246"/>
      <c r="SSS24" s="246"/>
      <c r="SST24" s="246"/>
      <c r="SSU24" s="246"/>
      <c r="SSV24" s="246"/>
      <c r="SSW24" s="246"/>
      <c r="SSX24" s="246"/>
      <c r="SSY24" s="246"/>
      <c r="SSZ24" s="246"/>
      <c r="STA24" s="246"/>
      <c r="STB24" s="246"/>
      <c r="STC24" s="246"/>
      <c r="STD24" s="246"/>
      <c r="STE24" s="246"/>
      <c r="STF24" s="246"/>
      <c r="STG24" s="246"/>
      <c r="STH24" s="246"/>
      <c r="STI24" s="246"/>
      <c r="STJ24" s="246"/>
      <c r="STK24" s="246"/>
      <c r="STL24" s="246"/>
      <c r="STM24" s="246"/>
      <c r="STN24" s="246"/>
      <c r="STO24" s="246"/>
      <c r="STP24" s="246"/>
      <c r="STQ24" s="246"/>
      <c r="STR24" s="246"/>
      <c r="STS24" s="246"/>
      <c r="STT24" s="246"/>
      <c r="STU24" s="246"/>
      <c r="STV24" s="246"/>
      <c r="STW24" s="246"/>
      <c r="STX24" s="246"/>
      <c r="STY24" s="246"/>
      <c r="STZ24" s="246"/>
      <c r="SUA24" s="246"/>
      <c r="SUB24" s="246"/>
      <c r="SUC24" s="246"/>
      <c r="SUD24" s="246"/>
      <c r="SUE24" s="246"/>
      <c r="SUF24" s="246"/>
      <c r="SUG24" s="246"/>
      <c r="SUH24" s="246"/>
      <c r="SUI24" s="246"/>
      <c r="SUJ24" s="246"/>
      <c r="SUK24" s="246"/>
      <c r="SUL24" s="246"/>
      <c r="SUM24" s="246"/>
      <c r="SUN24" s="246"/>
      <c r="SUO24" s="246"/>
      <c r="SUP24" s="246"/>
      <c r="SUQ24" s="246"/>
      <c r="SUR24" s="246"/>
      <c r="SUS24" s="246"/>
      <c r="SUT24" s="246"/>
      <c r="SUU24" s="246"/>
      <c r="SUV24" s="246"/>
      <c r="SUW24" s="246"/>
      <c r="SUX24" s="246"/>
      <c r="SUY24" s="246"/>
      <c r="SUZ24" s="246"/>
      <c r="SVA24" s="246"/>
      <c r="SVB24" s="246"/>
      <c r="SVC24" s="246"/>
      <c r="SVD24" s="246"/>
      <c r="SVE24" s="246"/>
      <c r="SVF24" s="246"/>
      <c r="SVG24" s="246"/>
      <c r="SVH24" s="246"/>
      <c r="SVI24" s="246"/>
      <c r="SVJ24" s="246"/>
      <c r="SVK24" s="246"/>
      <c r="SVL24" s="246"/>
      <c r="SVM24" s="246"/>
      <c r="SVN24" s="246"/>
      <c r="SVO24" s="246"/>
      <c r="SVP24" s="246"/>
      <c r="SVQ24" s="246"/>
      <c r="SVR24" s="246"/>
      <c r="SVS24" s="246"/>
      <c r="SVT24" s="246"/>
      <c r="SVU24" s="246"/>
      <c r="SVV24" s="246"/>
      <c r="SVW24" s="246"/>
      <c r="SVX24" s="246"/>
      <c r="SVY24" s="246"/>
      <c r="SVZ24" s="246"/>
      <c r="SWA24" s="246"/>
      <c r="SWB24" s="246"/>
      <c r="SWC24" s="246"/>
      <c r="SWD24" s="246"/>
      <c r="SWE24" s="246"/>
      <c r="SWF24" s="246"/>
      <c r="SWG24" s="246"/>
      <c r="SWH24" s="246"/>
      <c r="SWI24" s="246"/>
      <c r="SWJ24" s="246"/>
      <c r="SWK24" s="246"/>
      <c r="SWL24" s="246"/>
      <c r="SWM24" s="246"/>
      <c r="SWN24" s="246"/>
      <c r="SWO24" s="246"/>
      <c r="SWP24" s="246"/>
      <c r="SWQ24" s="246"/>
      <c r="SWR24" s="246"/>
      <c r="SWS24" s="246"/>
      <c r="SWT24" s="246"/>
      <c r="SWU24" s="246"/>
      <c r="SWV24" s="246"/>
      <c r="SWW24" s="246"/>
      <c r="SWX24" s="246"/>
      <c r="SWY24" s="246"/>
      <c r="SWZ24" s="246"/>
      <c r="SXA24" s="246"/>
      <c r="SXB24" s="246"/>
      <c r="SXC24" s="246"/>
      <c r="SXD24" s="246"/>
      <c r="SXE24" s="246"/>
      <c r="SXF24" s="246"/>
      <c r="SXG24" s="246"/>
      <c r="SXH24" s="246"/>
      <c r="SXI24" s="246"/>
      <c r="SXJ24" s="246"/>
      <c r="SXK24" s="246"/>
      <c r="SXL24" s="246"/>
      <c r="SXM24" s="246"/>
      <c r="SXN24" s="246"/>
      <c r="SXO24" s="246"/>
      <c r="SXP24" s="246"/>
      <c r="SXQ24" s="246"/>
      <c r="SXR24" s="246"/>
      <c r="SXS24" s="246"/>
      <c r="SXT24" s="246"/>
      <c r="SXU24" s="246"/>
      <c r="SXV24" s="246"/>
      <c r="SXW24" s="246"/>
      <c r="SXX24" s="246"/>
      <c r="SXY24" s="246"/>
      <c r="SXZ24" s="246"/>
      <c r="SYA24" s="246"/>
      <c r="SYB24" s="246"/>
      <c r="SYC24" s="246"/>
      <c r="SYD24" s="246"/>
      <c r="SYE24" s="246"/>
      <c r="SYF24" s="246"/>
      <c r="SYG24" s="246"/>
      <c r="SYH24" s="246"/>
      <c r="SYI24" s="246"/>
      <c r="SYJ24" s="246"/>
      <c r="SYK24" s="246"/>
      <c r="SYL24" s="246"/>
      <c r="SYM24" s="246"/>
      <c r="SYN24" s="246"/>
      <c r="SYO24" s="246"/>
      <c r="SYP24" s="246"/>
      <c r="SYQ24" s="246"/>
      <c r="SYR24" s="246"/>
      <c r="SYS24" s="246"/>
      <c r="SYT24" s="246"/>
      <c r="SYU24" s="246"/>
      <c r="SYV24" s="246"/>
      <c r="SYW24" s="246"/>
      <c r="SYX24" s="246"/>
      <c r="SYY24" s="246"/>
      <c r="SYZ24" s="246"/>
      <c r="SZA24" s="246"/>
      <c r="SZB24" s="246"/>
      <c r="SZC24" s="246"/>
      <c r="SZD24" s="246"/>
      <c r="SZE24" s="246"/>
      <c r="SZF24" s="246"/>
      <c r="SZG24" s="246"/>
      <c r="SZH24" s="246"/>
      <c r="SZI24" s="246"/>
      <c r="SZJ24" s="246"/>
      <c r="SZK24" s="246"/>
      <c r="SZL24" s="246"/>
      <c r="SZM24" s="246"/>
      <c r="SZN24" s="246"/>
      <c r="SZO24" s="246"/>
      <c r="SZP24" s="246"/>
      <c r="SZQ24" s="246"/>
      <c r="SZR24" s="246"/>
      <c r="SZS24" s="246"/>
      <c r="SZT24" s="246"/>
      <c r="SZU24" s="246"/>
      <c r="SZV24" s="246"/>
      <c r="SZW24" s="246"/>
      <c r="SZX24" s="246"/>
      <c r="SZY24" s="246"/>
      <c r="SZZ24" s="246"/>
      <c r="TAA24" s="246"/>
      <c r="TAB24" s="246"/>
      <c r="TAC24" s="246"/>
      <c r="TAD24" s="246"/>
      <c r="TAE24" s="246"/>
      <c r="TAF24" s="246"/>
      <c r="TAG24" s="246"/>
      <c r="TAH24" s="246"/>
      <c r="TAI24" s="246"/>
      <c r="TAJ24" s="246"/>
      <c r="TAK24" s="246"/>
      <c r="TAL24" s="246"/>
      <c r="TAM24" s="246"/>
      <c r="TAN24" s="246"/>
      <c r="TAO24" s="246"/>
      <c r="TAP24" s="246"/>
      <c r="TAQ24" s="246"/>
      <c r="TAR24" s="246"/>
      <c r="TAS24" s="246"/>
      <c r="TAT24" s="246"/>
      <c r="TAU24" s="246"/>
      <c r="TAV24" s="246"/>
      <c r="TAW24" s="246"/>
      <c r="TAX24" s="246"/>
      <c r="TAY24" s="246"/>
      <c r="TAZ24" s="246"/>
      <c r="TBA24" s="246"/>
      <c r="TBB24" s="246"/>
      <c r="TBC24" s="246"/>
      <c r="TBD24" s="246"/>
      <c r="TBE24" s="246"/>
      <c r="TBF24" s="246"/>
      <c r="TBG24" s="246"/>
      <c r="TBH24" s="246"/>
      <c r="TBI24" s="246"/>
      <c r="TBJ24" s="246"/>
      <c r="TBK24" s="246"/>
      <c r="TBL24" s="246"/>
      <c r="TBM24" s="246"/>
      <c r="TBN24" s="246"/>
      <c r="TBO24" s="246"/>
      <c r="TBP24" s="246"/>
      <c r="TBQ24" s="246"/>
      <c r="TBR24" s="246"/>
      <c r="TBS24" s="246"/>
      <c r="TBT24" s="246"/>
      <c r="TBU24" s="246"/>
      <c r="TBV24" s="246"/>
      <c r="TBW24" s="246"/>
      <c r="TBX24" s="246"/>
      <c r="TBY24" s="246"/>
      <c r="TBZ24" s="246"/>
      <c r="TCA24" s="246"/>
      <c r="TCB24" s="246"/>
      <c r="TCC24" s="246"/>
      <c r="TCD24" s="246"/>
      <c r="TCE24" s="246"/>
      <c r="TCF24" s="246"/>
      <c r="TCG24" s="246"/>
      <c r="TCH24" s="246"/>
      <c r="TCI24" s="246"/>
      <c r="TCJ24" s="246"/>
      <c r="TCK24" s="246"/>
      <c r="TCL24" s="246"/>
      <c r="TCM24" s="246"/>
      <c r="TCN24" s="246"/>
      <c r="TCO24" s="246"/>
      <c r="TCP24" s="246"/>
      <c r="TCQ24" s="246"/>
      <c r="TCR24" s="246"/>
      <c r="TCS24" s="246"/>
      <c r="TCT24" s="246"/>
      <c r="TCU24" s="246"/>
      <c r="TCV24" s="246"/>
      <c r="TCW24" s="246"/>
      <c r="TCX24" s="246"/>
      <c r="TCY24" s="246"/>
      <c r="TCZ24" s="246"/>
      <c r="TDA24" s="246"/>
      <c r="TDB24" s="246"/>
      <c r="TDC24" s="246"/>
      <c r="TDD24" s="246"/>
      <c r="TDE24" s="246"/>
      <c r="TDF24" s="246"/>
      <c r="TDG24" s="246"/>
      <c r="TDH24" s="246"/>
      <c r="TDI24" s="246"/>
      <c r="TDJ24" s="246"/>
      <c r="TDK24" s="246"/>
      <c r="TDL24" s="246"/>
      <c r="TDM24" s="246"/>
      <c r="TDN24" s="246"/>
      <c r="TDO24" s="246"/>
      <c r="TDP24" s="246"/>
      <c r="TDQ24" s="246"/>
      <c r="TDR24" s="246"/>
      <c r="TDS24" s="246"/>
      <c r="TDT24" s="246"/>
      <c r="TDU24" s="246"/>
      <c r="TDV24" s="246"/>
      <c r="TDW24" s="246"/>
      <c r="TDX24" s="246"/>
      <c r="TDY24" s="246"/>
      <c r="TDZ24" s="246"/>
      <c r="TEA24" s="246"/>
      <c r="TEB24" s="246"/>
      <c r="TEC24" s="246"/>
      <c r="TED24" s="246"/>
      <c r="TEE24" s="246"/>
      <c r="TEF24" s="246"/>
      <c r="TEG24" s="246"/>
      <c r="TEH24" s="246"/>
      <c r="TEI24" s="246"/>
      <c r="TEJ24" s="246"/>
      <c r="TEK24" s="246"/>
      <c r="TEL24" s="246"/>
      <c r="TEM24" s="246"/>
      <c r="TEN24" s="246"/>
      <c r="TEO24" s="246"/>
      <c r="TEP24" s="246"/>
      <c r="TEQ24" s="246"/>
      <c r="TER24" s="246"/>
      <c r="TES24" s="246"/>
      <c r="TET24" s="246"/>
      <c r="TEU24" s="246"/>
      <c r="TEV24" s="246"/>
      <c r="TEW24" s="246"/>
      <c r="TEX24" s="246"/>
      <c r="TEY24" s="246"/>
      <c r="TEZ24" s="246"/>
      <c r="TFA24" s="246"/>
      <c r="TFB24" s="246"/>
      <c r="TFC24" s="246"/>
      <c r="TFD24" s="246"/>
      <c r="TFE24" s="246"/>
      <c r="TFF24" s="246"/>
      <c r="TFG24" s="246"/>
      <c r="TFH24" s="246"/>
      <c r="TFI24" s="246"/>
      <c r="TFJ24" s="246"/>
      <c r="TFK24" s="246"/>
      <c r="TFL24" s="246"/>
      <c r="TFM24" s="246"/>
      <c r="TFN24" s="246"/>
      <c r="TFO24" s="246"/>
      <c r="TFP24" s="246"/>
      <c r="TFQ24" s="246"/>
      <c r="TFR24" s="246"/>
      <c r="TFS24" s="246"/>
      <c r="TFT24" s="246"/>
      <c r="TFU24" s="246"/>
      <c r="TFV24" s="246"/>
      <c r="TFW24" s="246"/>
      <c r="TFX24" s="246"/>
      <c r="TFY24" s="246"/>
      <c r="TFZ24" s="246"/>
      <c r="TGA24" s="246"/>
      <c r="TGB24" s="246"/>
      <c r="TGC24" s="246"/>
      <c r="TGD24" s="246"/>
      <c r="TGE24" s="246"/>
      <c r="TGF24" s="246"/>
      <c r="TGG24" s="246"/>
      <c r="TGH24" s="246"/>
      <c r="TGI24" s="246"/>
      <c r="TGJ24" s="246"/>
      <c r="TGK24" s="246"/>
      <c r="TGL24" s="246"/>
      <c r="TGM24" s="246"/>
      <c r="TGN24" s="246"/>
      <c r="TGO24" s="246"/>
      <c r="TGP24" s="246"/>
      <c r="TGQ24" s="246"/>
      <c r="TGR24" s="246"/>
      <c r="TGS24" s="246"/>
      <c r="TGT24" s="246"/>
      <c r="TGU24" s="246"/>
      <c r="TGV24" s="246"/>
      <c r="TGW24" s="246"/>
      <c r="TGX24" s="246"/>
      <c r="TGY24" s="246"/>
      <c r="TGZ24" s="246"/>
      <c r="THA24" s="246"/>
      <c r="THB24" s="246"/>
      <c r="THC24" s="246"/>
      <c r="THD24" s="246"/>
      <c r="THE24" s="246"/>
      <c r="THF24" s="246"/>
      <c r="THG24" s="246"/>
      <c r="THH24" s="246"/>
      <c r="THI24" s="246"/>
      <c r="THJ24" s="246"/>
      <c r="THK24" s="246"/>
      <c r="THL24" s="246"/>
      <c r="THM24" s="246"/>
      <c r="THN24" s="246"/>
      <c r="THO24" s="246"/>
      <c r="THP24" s="246"/>
      <c r="THQ24" s="246"/>
      <c r="THR24" s="246"/>
      <c r="THS24" s="246"/>
      <c r="THT24" s="246"/>
      <c r="THU24" s="246"/>
      <c r="THV24" s="246"/>
      <c r="THW24" s="246"/>
      <c r="THX24" s="246"/>
      <c r="THY24" s="246"/>
      <c r="THZ24" s="246"/>
      <c r="TIA24" s="246"/>
      <c r="TIB24" s="246"/>
      <c r="TIC24" s="246"/>
      <c r="TID24" s="246"/>
      <c r="TIE24" s="246"/>
      <c r="TIF24" s="246"/>
      <c r="TIG24" s="246"/>
      <c r="TIH24" s="246"/>
      <c r="TII24" s="246"/>
      <c r="TIJ24" s="246"/>
      <c r="TIK24" s="246"/>
      <c r="TIL24" s="246"/>
      <c r="TIM24" s="246"/>
      <c r="TIN24" s="246"/>
      <c r="TIO24" s="246"/>
      <c r="TIP24" s="246"/>
      <c r="TIQ24" s="246"/>
      <c r="TIR24" s="246"/>
      <c r="TIS24" s="246"/>
      <c r="TIT24" s="246"/>
      <c r="TIU24" s="246"/>
      <c r="TIV24" s="246"/>
      <c r="TIW24" s="246"/>
      <c r="TIX24" s="246"/>
      <c r="TIY24" s="246"/>
      <c r="TIZ24" s="246"/>
      <c r="TJA24" s="246"/>
      <c r="TJB24" s="246"/>
      <c r="TJC24" s="246"/>
      <c r="TJD24" s="246"/>
      <c r="TJE24" s="246"/>
      <c r="TJF24" s="246"/>
      <c r="TJG24" s="246"/>
      <c r="TJH24" s="246"/>
      <c r="TJI24" s="246"/>
      <c r="TJJ24" s="246"/>
      <c r="TJK24" s="246"/>
      <c r="TJL24" s="246"/>
      <c r="TJM24" s="246"/>
      <c r="TJN24" s="246"/>
      <c r="TJO24" s="246"/>
      <c r="TJP24" s="246"/>
      <c r="TJQ24" s="246"/>
      <c r="TJR24" s="246"/>
      <c r="TJS24" s="246"/>
      <c r="TJT24" s="246"/>
      <c r="TJU24" s="246"/>
      <c r="TJV24" s="246"/>
      <c r="TJW24" s="246"/>
      <c r="TJX24" s="246"/>
      <c r="TJY24" s="246"/>
      <c r="TJZ24" s="246"/>
      <c r="TKA24" s="246"/>
      <c r="TKB24" s="246"/>
      <c r="TKC24" s="246"/>
      <c r="TKD24" s="246"/>
      <c r="TKE24" s="246"/>
      <c r="TKF24" s="246"/>
      <c r="TKG24" s="246"/>
      <c r="TKH24" s="246"/>
      <c r="TKI24" s="246"/>
      <c r="TKJ24" s="246"/>
      <c r="TKK24" s="246"/>
      <c r="TKL24" s="246"/>
      <c r="TKM24" s="246"/>
      <c r="TKN24" s="246"/>
      <c r="TKO24" s="246"/>
      <c r="TKP24" s="246"/>
      <c r="TKQ24" s="246"/>
      <c r="TKR24" s="246"/>
      <c r="TKS24" s="246"/>
      <c r="TKT24" s="246"/>
      <c r="TKU24" s="246"/>
      <c r="TKV24" s="246"/>
      <c r="TKW24" s="246"/>
      <c r="TKX24" s="246"/>
      <c r="TKY24" s="246"/>
      <c r="TKZ24" s="246"/>
      <c r="TLA24" s="246"/>
      <c r="TLB24" s="246"/>
      <c r="TLC24" s="246"/>
      <c r="TLD24" s="246"/>
      <c r="TLE24" s="246"/>
      <c r="TLF24" s="246"/>
      <c r="TLG24" s="246"/>
      <c r="TLH24" s="246"/>
      <c r="TLI24" s="246"/>
      <c r="TLJ24" s="246"/>
      <c r="TLK24" s="246"/>
      <c r="TLL24" s="246"/>
      <c r="TLM24" s="246"/>
      <c r="TLN24" s="246"/>
      <c r="TLO24" s="246"/>
      <c r="TLP24" s="246"/>
      <c r="TLQ24" s="246"/>
      <c r="TLR24" s="246"/>
      <c r="TLS24" s="246"/>
      <c r="TLT24" s="246"/>
      <c r="TLU24" s="246"/>
      <c r="TLV24" s="246"/>
      <c r="TLW24" s="246"/>
      <c r="TLX24" s="246"/>
      <c r="TLY24" s="246"/>
      <c r="TLZ24" s="246"/>
      <c r="TMA24" s="246"/>
      <c r="TMB24" s="246"/>
      <c r="TMC24" s="246"/>
      <c r="TMD24" s="246"/>
      <c r="TME24" s="246"/>
      <c r="TMF24" s="246"/>
      <c r="TMG24" s="246"/>
      <c r="TMH24" s="246"/>
      <c r="TMI24" s="246"/>
      <c r="TMJ24" s="246"/>
      <c r="TMK24" s="246"/>
      <c r="TML24" s="246"/>
      <c r="TMM24" s="246"/>
      <c r="TMN24" s="246"/>
      <c r="TMO24" s="246"/>
      <c r="TMP24" s="246"/>
      <c r="TMQ24" s="246"/>
      <c r="TMR24" s="246"/>
      <c r="TMS24" s="246"/>
      <c r="TMT24" s="246"/>
      <c r="TMU24" s="246"/>
      <c r="TMV24" s="246"/>
      <c r="TMW24" s="246"/>
      <c r="TMX24" s="246"/>
      <c r="TMY24" s="246"/>
      <c r="TMZ24" s="246"/>
      <c r="TNA24" s="246"/>
      <c r="TNB24" s="246"/>
      <c r="TNC24" s="246"/>
      <c r="TND24" s="246"/>
      <c r="TNE24" s="246"/>
      <c r="TNF24" s="246"/>
      <c r="TNG24" s="246"/>
      <c r="TNH24" s="246"/>
      <c r="TNI24" s="246"/>
      <c r="TNJ24" s="246"/>
      <c r="TNK24" s="246"/>
      <c r="TNL24" s="246"/>
      <c r="TNM24" s="246"/>
      <c r="TNN24" s="246"/>
      <c r="TNO24" s="246"/>
      <c r="TNP24" s="246"/>
      <c r="TNQ24" s="246"/>
      <c r="TNR24" s="246"/>
      <c r="TNS24" s="246"/>
      <c r="TNT24" s="246"/>
      <c r="TNU24" s="246"/>
      <c r="TNV24" s="246"/>
      <c r="TNW24" s="246"/>
      <c r="TNX24" s="246"/>
      <c r="TNY24" s="246"/>
      <c r="TNZ24" s="246"/>
      <c r="TOA24" s="246"/>
      <c r="TOB24" s="246"/>
      <c r="TOC24" s="246"/>
      <c r="TOD24" s="246"/>
      <c r="TOE24" s="246"/>
      <c r="TOF24" s="246"/>
      <c r="TOG24" s="246"/>
      <c r="TOH24" s="246"/>
      <c r="TOI24" s="246"/>
      <c r="TOJ24" s="246"/>
      <c r="TOK24" s="246"/>
      <c r="TOL24" s="246"/>
      <c r="TOM24" s="246"/>
      <c r="TON24" s="246"/>
      <c r="TOO24" s="246"/>
      <c r="TOP24" s="246"/>
      <c r="TOQ24" s="246"/>
      <c r="TOR24" s="246"/>
      <c r="TOS24" s="246"/>
      <c r="TOT24" s="246"/>
      <c r="TOU24" s="246"/>
      <c r="TOV24" s="246"/>
      <c r="TOW24" s="246"/>
      <c r="TOX24" s="246"/>
      <c r="TOY24" s="246"/>
      <c r="TOZ24" s="246"/>
      <c r="TPA24" s="246"/>
      <c r="TPB24" s="246"/>
      <c r="TPC24" s="246"/>
      <c r="TPD24" s="246"/>
      <c r="TPE24" s="246"/>
      <c r="TPF24" s="246"/>
      <c r="TPG24" s="246"/>
      <c r="TPH24" s="246"/>
      <c r="TPI24" s="246"/>
      <c r="TPJ24" s="246"/>
      <c r="TPK24" s="246"/>
      <c r="TPL24" s="246"/>
      <c r="TPM24" s="246"/>
      <c r="TPN24" s="246"/>
      <c r="TPO24" s="246"/>
      <c r="TPP24" s="246"/>
      <c r="TPQ24" s="246"/>
      <c r="TPR24" s="246"/>
      <c r="TPS24" s="246"/>
      <c r="TPT24" s="246"/>
      <c r="TPU24" s="246"/>
      <c r="TPV24" s="246"/>
      <c r="TPW24" s="246"/>
      <c r="TPX24" s="246"/>
      <c r="TPY24" s="246"/>
      <c r="TPZ24" s="246"/>
      <c r="TQA24" s="246"/>
      <c r="TQB24" s="246"/>
      <c r="TQC24" s="246"/>
      <c r="TQD24" s="246"/>
      <c r="TQE24" s="246"/>
      <c r="TQF24" s="246"/>
      <c r="TQG24" s="246"/>
      <c r="TQH24" s="246"/>
      <c r="TQI24" s="246"/>
      <c r="TQJ24" s="246"/>
      <c r="TQK24" s="246"/>
      <c r="TQL24" s="246"/>
      <c r="TQM24" s="246"/>
      <c r="TQN24" s="246"/>
      <c r="TQO24" s="246"/>
      <c r="TQP24" s="246"/>
      <c r="TQQ24" s="246"/>
      <c r="TQR24" s="246"/>
      <c r="TQS24" s="246"/>
      <c r="TQT24" s="246"/>
      <c r="TQU24" s="246"/>
      <c r="TQV24" s="246"/>
      <c r="TQW24" s="246"/>
      <c r="TQX24" s="246"/>
      <c r="TQY24" s="246"/>
      <c r="TQZ24" s="246"/>
      <c r="TRA24" s="246"/>
      <c r="TRB24" s="246"/>
      <c r="TRC24" s="246"/>
      <c r="TRD24" s="246"/>
      <c r="TRE24" s="246"/>
      <c r="TRF24" s="246"/>
      <c r="TRG24" s="246"/>
      <c r="TRH24" s="246"/>
      <c r="TRI24" s="246"/>
      <c r="TRJ24" s="246"/>
      <c r="TRK24" s="246"/>
      <c r="TRL24" s="246"/>
      <c r="TRM24" s="246"/>
      <c r="TRN24" s="246"/>
      <c r="TRO24" s="246"/>
      <c r="TRP24" s="246"/>
      <c r="TRQ24" s="246"/>
      <c r="TRR24" s="246"/>
      <c r="TRS24" s="246"/>
      <c r="TRT24" s="246"/>
      <c r="TRU24" s="246"/>
      <c r="TRV24" s="246"/>
      <c r="TRW24" s="246"/>
      <c r="TRX24" s="246"/>
      <c r="TRY24" s="246"/>
      <c r="TRZ24" s="246"/>
      <c r="TSA24" s="246"/>
      <c r="TSB24" s="246"/>
      <c r="TSC24" s="246"/>
      <c r="TSD24" s="246"/>
      <c r="TSE24" s="246"/>
      <c r="TSF24" s="246"/>
      <c r="TSG24" s="246"/>
      <c r="TSH24" s="246"/>
      <c r="TSI24" s="246"/>
      <c r="TSJ24" s="246"/>
      <c r="TSK24" s="246"/>
      <c r="TSL24" s="246"/>
      <c r="TSM24" s="246"/>
      <c r="TSN24" s="246"/>
      <c r="TSO24" s="246"/>
      <c r="TSP24" s="246"/>
      <c r="TSQ24" s="246"/>
      <c r="TSR24" s="246"/>
      <c r="TSS24" s="246"/>
      <c r="TST24" s="246"/>
      <c r="TSU24" s="246"/>
      <c r="TSV24" s="246"/>
      <c r="TSW24" s="246"/>
      <c r="TSX24" s="246"/>
      <c r="TSY24" s="246"/>
      <c r="TSZ24" s="246"/>
      <c r="TTA24" s="246"/>
      <c r="TTB24" s="246"/>
      <c r="TTC24" s="246"/>
      <c r="TTD24" s="246"/>
      <c r="TTE24" s="246"/>
      <c r="TTF24" s="246"/>
      <c r="TTG24" s="246"/>
      <c r="TTH24" s="246"/>
      <c r="TTI24" s="246"/>
      <c r="TTJ24" s="246"/>
      <c r="TTK24" s="246"/>
      <c r="TTL24" s="246"/>
      <c r="TTM24" s="246"/>
      <c r="TTN24" s="246"/>
      <c r="TTO24" s="246"/>
      <c r="TTP24" s="246"/>
      <c r="TTQ24" s="246"/>
      <c r="TTR24" s="246"/>
      <c r="TTS24" s="246"/>
      <c r="TTT24" s="246"/>
      <c r="TTU24" s="246"/>
      <c r="TTV24" s="246"/>
      <c r="TTW24" s="246"/>
      <c r="TTX24" s="246"/>
      <c r="TTY24" s="246"/>
      <c r="TTZ24" s="246"/>
      <c r="TUA24" s="246"/>
      <c r="TUB24" s="246"/>
      <c r="TUC24" s="246"/>
      <c r="TUD24" s="246"/>
      <c r="TUE24" s="246"/>
      <c r="TUF24" s="246"/>
      <c r="TUG24" s="246"/>
      <c r="TUH24" s="246"/>
      <c r="TUI24" s="246"/>
      <c r="TUJ24" s="246"/>
      <c r="TUK24" s="246"/>
      <c r="TUL24" s="246"/>
      <c r="TUM24" s="246"/>
      <c r="TUN24" s="246"/>
      <c r="TUO24" s="246"/>
      <c r="TUP24" s="246"/>
      <c r="TUQ24" s="246"/>
      <c r="TUR24" s="246"/>
      <c r="TUS24" s="246"/>
      <c r="TUT24" s="246"/>
      <c r="TUU24" s="246"/>
      <c r="TUV24" s="246"/>
      <c r="TUW24" s="246"/>
      <c r="TUX24" s="246"/>
      <c r="TUY24" s="246"/>
      <c r="TUZ24" s="246"/>
      <c r="TVA24" s="246"/>
      <c r="TVB24" s="246"/>
      <c r="TVC24" s="246"/>
      <c r="TVD24" s="246"/>
      <c r="TVE24" s="246"/>
      <c r="TVF24" s="246"/>
      <c r="TVG24" s="246"/>
      <c r="TVH24" s="246"/>
      <c r="TVI24" s="246"/>
      <c r="TVJ24" s="246"/>
      <c r="TVK24" s="246"/>
      <c r="TVL24" s="246"/>
      <c r="TVM24" s="246"/>
      <c r="TVN24" s="246"/>
      <c r="TVO24" s="246"/>
      <c r="TVP24" s="246"/>
      <c r="TVQ24" s="246"/>
      <c r="TVR24" s="246"/>
      <c r="TVS24" s="246"/>
      <c r="TVT24" s="246"/>
      <c r="TVU24" s="246"/>
      <c r="TVV24" s="246"/>
      <c r="TVW24" s="246"/>
      <c r="TVX24" s="246"/>
      <c r="TVY24" s="246"/>
      <c r="TVZ24" s="246"/>
      <c r="TWA24" s="246"/>
      <c r="TWB24" s="246"/>
      <c r="TWC24" s="246"/>
      <c r="TWD24" s="246"/>
      <c r="TWE24" s="246"/>
      <c r="TWF24" s="246"/>
      <c r="TWG24" s="246"/>
      <c r="TWH24" s="246"/>
      <c r="TWI24" s="246"/>
      <c r="TWJ24" s="246"/>
      <c r="TWK24" s="246"/>
      <c r="TWL24" s="246"/>
      <c r="TWM24" s="246"/>
      <c r="TWN24" s="246"/>
      <c r="TWO24" s="246"/>
      <c r="TWP24" s="246"/>
      <c r="TWQ24" s="246"/>
      <c r="TWR24" s="246"/>
      <c r="TWS24" s="246"/>
      <c r="TWT24" s="246"/>
      <c r="TWU24" s="246"/>
      <c r="TWV24" s="246"/>
      <c r="TWW24" s="246"/>
      <c r="TWX24" s="246"/>
      <c r="TWY24" s="246"/>
      <c r="TWZ24" s="246"/>
      <c r="TXA24" s="246"/>
      <c r="TXB24" s="246"/>
      <c r="TXC24" s="246"/>
      <c r="TXD24" s="246"/>
      <c r="TXE24" s="246"/>
      <c r="TXF24" s="246"/>
      <c r="TXG24" s="246"/>
      <c r="TXH24" s="246"/>
      <c r="TXI24" s="246"/>
      <c r="TXJ24" s="246"/>
      <c r="TXK24" s="246"/>
      <c r="TXL24" s="246"/>
      <c r="TXM24" s="246"/>
      <c r="TXN24" s="246"/>
      <c r="TXO24" s="246"/>
      <c r="TXP24" s="246"/>
      <c r="TXQ24" s="246"/>
      <c r="TXR24" s="246"/>
      <c r="TXS24" s="246"/>
      <c r="TXT24" s="246"/>
      <c r="TXU24" s="246"/>
      <c r="TXV24" s="246"/>
      <c r="TXW24" s="246"/>
      <c r="TXX24" s="246"/>
      <c r="TXY24" s="246"/>
      <c r="TXZ24" s="246"/>
      <c r="TYA24" s="246"/>
      <c r="TYB24" s="246"/>
      <c r="TYC24" s="246"/>
      <c r="TYD24" s="246"/>
      <c r="TYE24" s="246"/>
      <c r="TYF24" s="246"/>
      <c r="TYG24" s="246"/>
      <c r="TYH24" s="246"/>
      <c r="TYI24" s="246"/>
      <c r="TYJ24" s="246"/>
      <c r="TYK24" s="246"/>
      <c r="TYL24" s="246"/>
      <c r="TYM24" s="246"/>
      <c r="TYN24" s="246"/>
      <c r="TYO24" s="246"/>
      <c r="TYP24" s="246"/>
      <c r="TYQ24" s="246"/>
      <c r="TYR24" s="246"/>
      <c r="TYS24" s="246"/>
      <c r="TYT24" s="246"/>
      <c r="TYU24" s="246"/>
      <c r="TYV24" s="246"/>
      <c r="TYW24" s="246"/>
      <c r="TYX24" s="246"/>
      <c r="TYY24" s="246"/>
      <c r="TYZ24" s="246"/>
      <c r="TZA24" s="246"/>
      <c r="TZB24" s="246"/>
      <c r="TZC24" s="246"/>
      <c r="TZD24" s="246"/>
      <c r="TZE24" s="246"/>
      <c r="TZF24" s="246"/>
      <c r="TZG24" s="246"/>
      <c r="TZH24" s="246"/>
      <c r="TZI24" s="246"/>
      <c r="TZJ24" s="246"/>
      <c r="TZK24" s="246"/>
      <c r="TZL24" s="246"/>
      <c r="TZM24" s="246"/>
      <c r="TZN24" s="246"/>
      <c r="TZO24" s="246"/>
      <c r="TZP24" s="246"/>
      <c r="TZQ24" s="246"/>
      <c r="TZR24" s="246"/>
      <c r="TZS24" s="246"/>
      <c r="TZT24" s="246"/>
      <c r="TZU24" s="246"/>
      <c r="TZV24" s="246"/>
      <c r="TZW24" s="246"/>
      <c r="TZX24" s="246"/>
      <c r="TZY24" s="246"/>
      <c r="TZZ24" s="246"/>
      <c r="UAA24" s="246"/>
      <c r="UAB24" s="246"/>
      <c r="UAC24" s="246"/>
      <c r="UAD24" s="246"/>
      <c r="UAE24" s="246"/>
      <c r="UAF24" s="246"/>
      <c r="UAG24" s="246"/>
      <c r="UAH24" s="246"/>
      <c r="UAI24" s="246"/>
      <c r="UAJ24" s="246"/>
      <c r="UAK24" s="246"/>
      <c r="UAL24" s="246"/>
      <c r="UAM24" s="246"/>
      <c r="UAN24" s="246"/>
      <c r="UAO24" s="246"/>
      <c r="UAP24" s="246"/>
      <c r="UAQ24" s="246"/>
      <c r="UAR24" s="246"/>
      <c r="UAS24" s="246"/>
      <c r="UAT24" s="246"/>
      <c r="UAU24" s="246"/>
      <c r="UAV24" s="246"/>
      <c r="UAW24" s="246"/>
      <c r="UAX24" s="246"/>
      <c r="UAY24" s="246"/>
      <c r="UAZ24" s="246"/>
      <c r="UBA24" s="246"/>
      <c r="UBB24" s="246"/>
      <c r="UBC24" s="246"/>
      <c r="UBD24" s="246"/>
      <c r="UBE24" s="246"/>
      <c r="UBF24" s="246"/>
      <c r="UBG24" s="246"/>
      <c r="UBH24" s="246"/>
      <c r="UBI24" s="246"/>
      <c r="UBJ24" s="246"/>
      <c r="UBK24" s="246"/>
      <c r="UBL24" s="246"/>
      <c r="UBM24" s="246"/>
      <c r="UBN24" s="246"/>
      <c r="UBO24" s="246"/>
      <c r="UBP24" s="246"/>
      <c r="UBQ24" s="246"/>
      <c r="UBR24" s="246"/>
      <c r="UBS24" s="246"/>
      <c r="UBT24" s="246"/>
      <c r="UBU24" s="246"/>
      <c r="UBV24" s="246"/>
      <c r="UBW24" s="246"/>
      <c r="UBX24" s="246"/>
      <c r="UBY24" s="246"/>
      <c r="UBZ24" s="246"/>
      <c r="UCA24" s="246"/>
      <c r="UCB24" s="246"/>
      <c r="UCC24" s="246"/>
      <c r="UCD24" s="246"/>
      <c r="UCE24" s="246"/>
      <c r="UCF24" s="246"/>
      <c r="UCG24" s="246"/>
      <c r="UCH24" s="246"/>
      <c r="UCI24" s="246"/>
      <c r="UCJ24" s="246"/>
      <c r="UCK24" s="246"/>
      <c r="UCL24" s="246"/>
      <c r="UCM24" s="246"/>
      <c r="UCN24" s="246"/>
      <c r="UCO24" s="246"/>
      <c r="UCP24" s="246"/>
      <c r="UCQ24" s="246"/>
      <c r="UCR24" s="246"/>
      <c r="UCS24" s="246"/>
      <c r="UCT24" s="246"/>
      <c r="UCU24" s="246"/>
      <c r="UCV24" s="246"/>
      <c r="UCW24" s="246"/>
      <c r="UCX24" s="246"/>
      <c r="UCY24" s="246"/>
      <c r="UCZ24" s="246"/>
      <c r="UDA24" s="246"/>
      <c r="UDB24" s="246"/>
      <c r="UDC24" s="246"/>
      <c r="UDD24" s="246"/>
      <c r="UDE24" s="246"/>
      <c r="UDF24" s="246"/>
      <c r="UDG24" s="246"/>
      <c r="UDH24" s="246"/>
      <c r="UDI24" s="246"/>
      <c r="UDJ24" s="246"/>
      <c r="UDK24" s="246"/>
      <c r="UDL24" s="246"/>
      <c r="UDM24" s="246"/>
      <c r="UDN24" s="246"/>
      <c r="UDO24" s="246"/>
      <c r="UDP24" s="246"/>
      <c r="UDQ24" s="246"/>
      <c r="UDR24" s="246"/>
      <c r="UDS24" s="246"/>
      <c r="UDT24" s="246"/>
      <c r="UDU24" s="246"/>
      <c r="UDV24" s="246"/>
      <c r="UDW24" s="246"/>
      <c r="UDX24" s="246"/>
      <c r="UDY24" s="246"/>
      <c r="UDZ24" s="246"/>
      <c r="UEA24" s="246"/>
      <c r="UEB24" s="246"/>
      <c r="UEC24" s="246"/>
      <c r="UED24" s="246"/>
      <c r="UEE24" s="246"/>
      <c r="UEF24" s="246"/>
      <c r="UEG24" s="246"/>
      <c r="UEH24" s="246"/>
      <c r="UEI24" s="246"/>
      <c r="UEJ24" s="246"/>
      <c r="UEK24" s="246"/>
      <c r="UEL24" s="246"/>
      <c r="UEM24" s="246"/>
      <c r="UEN24" s="246"/>
      <c r="UEO24" s="246"/>
      <c r="UEP24" s="246"/>
      <c r="UEQ24" s="246"/>
      <c r="UER24" s="246"/>
      <c r="UES24" s="246"/>
      <c r="UET24" s="246"/>
      <c r="UEU24" s="246"/>
      <c r="UEV24" s="246"/>
      <c r="UEW24" s="246"/>
      <c r="UEX24" s="246"/>
      <c r="UEY24" s="246"/>
      <c r="UEZ24" s="246"/>
      <c r="UFA24" s="246"/>
      <c r="UFB24" s="246"/>
      <c r="UFC24" s="246"/>
      <c r="UFD24" s="246"/>
      <c r="UFE24" s="246"/>
      <c r="UFF24" s="246"/>
      <c r="UFG24" s="246"/>
      <c r="UFH24" s="246"/>
      <c r="UFI24" s="246"/>
      <c r="UFJ24" s="246"/>
      <c r="UFK24" s="246"/>
      <c r="UFL24" s="246"/>
      <c r="UFM24" s="246"/>
      <c r="UFN24" s="246"/>
      <c r="UFO24" s="246"/>
      <c r="UFP24" s="246"/>
      <c r="UFQ24" s="246"/>
      <c r="UFR24" s="246"/>
      <c r="UFS24" s="246"/>
      <c r="UFT24" s="246"/>
      <c r="UFU24" s="246"/>
      <c r="UFV24" s="246"/>
      <c r="UFW24" s="246"/>
      <c r="UFX24" s="246"/>
      <c r="UFY24" s="246"/>
      <c r="UFZ24" s="246"/>
      <c r="UGA24" s="246"/>
      <c r="UGB24" s="246"/>
      <c r="UGC24" s="246"/>
      <c r="UGD24" s="246"/>
      <c r="UGE24" s="246"/>
      <c r="UGF24" s="246"/>
      <c r="UGG24" s="246"/>
      <c r="UGH24" s="246"/>
      <c r="UGI24" s="246"/>
      <c r="UGJ24" s="246"/>
      <c r="UGK24" s="246"/>
      <c r="UGL24" s="246"/>
      <c r="UGM24" s="246"/>
      <c r="UGN24" s="246"/>
      <c r="UGO24" s="246"/>
      <c r="UGP24" s="246"/>
      <c r="UGQ24" s="246"/>
      <c r="UGR24" s="246"/>
      <c r="UGS24" s="246"/>
      <c r="UGT24" s="246"/>
      <c r="UGU24" s="246"/>
      <c r="UGV24" s="246"/>
      <c r="UGW24" s="246"/>
      <c r="UGX24" s="246"/>
      <c r="UGY24" s="246"/>
      <c r="UGZ24" s="246"/>
      <c r="UHA24" s="246"/>
      <c r="UHB24" s="246"/>
      <c r="UHC24" s="246"/>
      <c r="UHD24" s="246"/>
      <c r="UHE24" s="246"/>
      <c r="UHF24" s="246"/>
      <c r="UHG24" s="246"/>
      <c r="UHH24" s="246"/>
      <c r="UHI24" s="246"/>
      <c r="UHJ24" s="246"/>
      <c r="UHK24" s="246"/>
      <c r="UHL24" s="246"/>
      <c r="UHM24" s="246"/>
      <c r="UHN24" s="246"/>
      <c r="UHO24" s="246"/>
      <c r="UHP24" s="246"/>
      <c r="UHQ24" s="246"/>
      <c r="UHR24" s="246"/>
      <c r="UHS24" s="246"/>
      <c r="UHT24" s="246"/>
      <c r="UHU24" s="246"/>
      <c r="UHV24" s="246"/>
      <c r="UHW24" s="246"/>
      <c r="UHX24" s="246"/>
      <c r="UHY24" s="246"/>
      <c r="UHZ24" s="246"/>
      <c r="UIA24" s="246"/>
      <c r="UIB24" s="246"/>
      <c r="UIC24" s="246"/>
      <c r="UID24" s="246"/>
      <c r="UIE24" s="246"/>
      <c r="UIF24" s="246"/>
      <c r="UIG24" s="246"/>
      <c r="UIH24" s="246"/>
      <c r="UII24" s="246"/>
      <c r="UIJ24" s="246"/>
      <c r="UIK24" s="246"/>
      <c r="UIL24" s="246"/>
      <c r="UIM24" s="246"/>
      <c r="UIN24" s="246"/>
      <c r="UIO24" s="246"/>
      <c r="UIP24" s="246"/>
      <c r="UIQ24" s="246"/>
      <c r="UIR24" s="246"/>
      <c r="UIS24" s="246"/>
      <c r="UIT24" s="246"/>
      <c r="UIU24" s="246"/>
      <c r="UIV24" s="246"/>
      <c r="UIW24" s="246"/>
      <c r="UIX24" s="246"/>
      <c r="UIY24" s="246"/>
      <c r="UIZ24" s="246"/>
      <c r="UJA24" s="246"/>
      <c r="UJB24" s="246"/>
      <c r="UJC24" s="246"/>
      <c r="UJD24" s="246"/>
      <c r="UJE24" s="246"/>
      <c r="UJF24" s="246"/>
      <c r="UJG24" s="246"/>
      <c r="UJH24" s="246"/>
      <c r="UJI24" s="246"/>
      <c r="UJJ24" s="246"/>
      <c r="UJK24" s="246"/>
      <c r="UJL24" s="246"/>
      <c r="UJM24" s="246"/>
      <c r="UJN24" s="246"/>
      <c r="UJO24" s="246"/>
      <c r="UJP24" s="246"/>
      <c r="UJQ24" s="246"/>
      <c r="UJR24" s="246"/>
      <c r="UJS24" s="246"/>
      <c r="UJT24" s="246"/>
      <c r="UJU24" s="246"/>
      <c r="UJV24" s="246"/>
      <c r="UJW24" s="246"/>
      <c r="UJX24" s="246"/>
      <c r="UJY24" s="246"/>
      <c r="UJZ24" s="246"/>
      <c r="UKA24" s="246"/>
      <c r="UKB24" s="246"/>
      <c r="UKC24" s="246"/>
      <c r="UKD24" s="246"/>
      <c r="UKE24" s="246"/>
      <c r="UKF24" s="246"/>
      <c r="UKG24" s="246"/>
      <c r="UKH24" s="246"/>
      <c r="UKI24" s="246"/>
      <c r="UKJ24" s="246"/>
      <c r="UKK24" s="246"/>
      <c r="UKL24" s="246"/>
      <c r="UKM24" s="246"/>
      <c r="UKN24" s="246"/>
      <c r="UKO24" s="246"/>
      <c r="UKP24" s="246"/>
      <c r="UKQ24" s="246"/>
      <c r="UKR24" s="246"/>
      <c r="UKS24" s="246"/>
      <c r="UKT24" s="246"/>
      <c r="UKU24" s="246"/>
      <c r="UKV24" s="246"/>
      <c r="UKW24" s="246"/>
      <c r="UKX24" s="246"/>
      <c r="UKY24" s="246"/>
      <c r="UKZ24" s="246"/>
      <c r="ULA24" s="246"/>
      <c r="ULB24" s="246"/>
      <c r="ULC24" s="246"/>
      <c r="ULD24" s="246"/>
      <c r="ULE24" s="246"/>
      <c r="ULF24" s="246"/>
      <c r="ULG24" s="246"/>
      <c r="ULH24" s="246"/>
      <c r="ULI24" s="246"/>
      <c r="ULJ24" s="246"/>
      <c r="ULK24" s="246"/>
      <c r="ULL24" s="246"/>
      <c r="ULM24" s="246"/>
      <c r="ULN24" s="246"/>
      <c r="ULO24" s="246"/>
      <c r="ULP24" s="246"/>
      <c r="ULQ24" s="246"/>
      <c r="ULR24" s="246"/>
      <c r="ULS24" s="246"/>
      <c r="ULT24" s="246"/>
      <c r="ULU24" s="246"/>
      <c r="ULV24" s="246"/>
      <c r="ULW24" s="246"/>
      <c r="ULX24" s="246"/>
      <c r="ULY24" s="246"/>
      <c r="ULZ24" s="246"/>
      <c r="UMA24" s="246"/>
      <c r="UMB24" s="246"/>
      <c r="UMC24" s="246"/>
      <c r="UMD24" s="246"/>
      <c r="UME24" s="246"/>
      <c r="UMF24" s="246"/>
      <c r="UMG24" s="246"/>
      <c r="UMH24" s="246"/>
      <c r="UMI24" s="246"/>
      <c r="UMJ24" s="246"/>
      <c r="UMK24" s="246"/>
      <c r="UML24" s="246"/>
      <c r="UMM24" s="246"/>
      <c r="UMN24" s="246"/>
      <c r="UMO24" s="246"/>
      <c r="UMP24" s="246"/>
      <c r="UMQ24" s="246"/>
      <c r="UMR24" s="246"/>
      <c r="UMS24" s="246"/>
      <c r="UMT24" s="246"/>
      <c r="UMU24" s="246"/>
      <c r="UMV24" s="246"/>
      <c r="UMW24" s="246"/>
      <c r="UMX24" s="246"/>
      <c r="UMY24" s="246"/>
      <c r="UMZ24" s="246"/>
      <c r="UNA24" s="246"/>
      <c r="UNB24" s="246"/>
      <c r="UNC24" s="246"/>
      <c r="UND24" s="246"/>
      <c r="UNE24" s="246"/>
      <c r="UNF24" s="246"/>
      <c r="UNG24" s="246"/>
      <c r="UNH24" s="246"/>
      <c r="UNI24" s="246"/>
      <c r="UNJ24" s="246"/>
      <c r="UNK24" s="246"/>
      <c r="UNL24" s="246"/>
      <c r="UNM24" s="246"/>
      <c r="UNN24" s="246"/>
      <c r="UNO24" s="246"/>
      <c r="UNP24" s="246"/>
      <c r="UNQ24" s="246"/>
      <c r="UNR24" s="246"/>
      <c r="UNS24" s="246"/>
      <c r="UNT24" s="246"/>
      <c r="UNU24" s="246"/>
      <c r="UNV24" s="246"/>
      <c r="UNW24" s="246"/>
      <c r="UNX24" s="246"/>
      <c r="UNY24" s="246"/>
      <c r="UNZ24" s="246"/>
      <c r="UOA24" s="246"/>
      <c r="UOB24" s="246"/>
      <c r="UOC24" s="246"/>
      <c r="UOD24" s="246"/>
      <c r="UOE24" s="246"/>
      <c r="UOF24" s="246"/>
      <c r="UOG24" s="246"/>
      <c r="UOH24" s="246"/>
      <c r="UOI24" s="246"/>
      <c r="UOJ24" s="246"/>
      <c r="UOK24" s="246"/>
      <c r="UOL24" s="246"/>
      <c r="UOM24" s="246"/>
      <c r="UON24" s="246"/>
      <c r="UOO24" s="246"/>
      <c r="UOP24" s="246"/>
      <c r="UOQ24" s="246"/>
      <c r="UOR24" s="246"/>
      <c r="UOS24" s="246"/>
      <c r="UOT24" s="246"/>
      <c r="UOU24" s="246"/>
      <c r="UOV24" s="246"/>
      <c r="UOW24" s="246"/>
      <c r="UOX24" s="246"/>
      <c r="UOY24" s="246"/>
      <c r="UOZ24" s="246"/>
      <c r="UPA24" s="246"/>
      <c r="UPB24" s="246"/>
      <c r="UPC24" s="246"/>
      <c r="UPD24" s="246"/>
      <c r="UPE24" s="246"/>
      <c r="UPF24" s="246"/>
      <c r="UPG24" s="246"/>
      <c r="UPH24" s="246"/>
      <c r="UPI24" s="246"/>
      <c r="UPJ24" s="246"/>
      <c r="UPK24" s="246"/>
      <c r="UPL24" s="246"/>
      <c r="UPM24" s="246"/>
      <c r="UPN24" s="246"/>
      <c r="UPO24" s="246"/>
      <c r="UPP24" s="246"/>
      <c r="UPQ24" s="246"/>
      <c r="UPR24" s="246"/>
      <c r="UPS24" s="246"/>
      <c r="UPT24" s="246"/>
      <c r="UPU24" s="246"/>
      <c r="UPV24" s="246"/>
      <c r="UPW24" s="246"/>
      <c r="UPX24" s="246"/>
      <c r="UPY24" s="246"/>
      <c r="UPZ24" s="246"/>
      <c r="UQA24" s="246"/>
      <c r="UQB24" s="246"/>
      <c r="UQC24" s="246"/>
      <c r="UQD24" s="246"/>
      <c r="UQE24" s="246"/>
      <c r="UQF24" s="246"/>
      <c r="UQG24" s="246"/>
      <c r="UQH24" s="246"/>
      <c r="UQI24" s="246"/>
      <c r="UQJ24" s="246"/>
      <c r="UQK24" s="246"/>
      <c r="UQL24" s="246"/>
      <c r="UQM24" s="246"/>
      <c r="UQN24" s="246"/>
      <c r="UQO24" s="246"/>
      <c r="UQP24" s="246"/>
      <c r="UQQ24" s="246"/>
      <c r="UQR24" s="246"/>
      <c r="UQS24" s="246"/>
      <c r="UQT24" s="246"/>
      <c r="UQU24" s="246"/>
      <c r="UQV24" s="246"/>
      <c r="UQW24" s="246"/>
      <c r="UQX24" s="246"/>
      <c r="UQY24" s="246"/>
      <c r="UQZ24" s="246"/>
      <c r="URA24" s="246"/>
      <c r="URB24" s="246"/>
      <c r="URC24" s="246"/>
      <c r="URD24" s="246"/>
      <c r="URE24" s="246"/>
      <c r="URF24" s="246"/>
      <c r="URG24" s="246"/>
      <c r="URH24" s="246"/>
      <c r="URI24" s="246"/>
      <c r="URJ24" s="246"/>
      <c r="URK24" s="246"/>
      <c r="URL24" s="246"/>
      <c r="URM24" s="246"/>
      <c r="URN24" s="246"/>
      <c r="URO24" s="246"/>
      <c r="URP24" s="246"/>
      <c r="URQ24" s="246"/>
      <c r="URR24" s="246"/>
      <c r="URS24" s="246"/>
      <c r="URT24" s="246"/>
      <c r="URU24" s="246"/>
      <c r="URV24" s="246"/>
      <c r="URW24" s="246"/>
      <c r="URX24" s="246"/>
      <c r="URY24" s="246"/>
      <c r="URZ24" s="246"/>
      <c r="USA24" s="246"/>
      <c r="USB24" s="246"/>
      <c r="USC24" s="246"/>
      <c r="USD24" s="246"/>
      <c r="USE24" s="246"/>
      <c r="USF24" s="246"/>
      <c r="USG24" s="246"/>
      <c r="USH24" s="246"/>
      <c r="USI24" s="246"/>
      <c r="USJ24" s="246"/>
      <c r="USK24" s="246"/>
      <c r="USL24" s="246"/>
      <c r="USM24" s="246"/>
      <c r="USN24" s="246"/>
      <c r="USO24" s="246"/>
      <c r="USP24" s="246"/>
      <c r="USQ24" s="246"/>
      <c r="USR24" s="246"/>
      <c r="USS24" s="246"/>
      <c r="UST24" s="246"/>
      <c r="USU24" s="246"/>
      <c r="USV24" s="246"/>
      <c r="USW24" s="246"/>
      <c r="USX24" s="246"/>
      <c r="USY24" s="246"/>
      <c r="USZ24" s="246"/>
      <c r="UTA24" s="246"/>
      <c r="UTB24" s="246"/>
      <c r="UTC24" s="246"/>
      <c r="UTD24" s="246"/>
      <c r="UTE24" s="246"/>
      <c r="UTF24" s="246"/>
      <c r="UTG24" s="246"/>
      <c r="UTH24" s="246"/>
      <c r="UTI24" s="246"/>
      <c r="UTJ24" s="246"/>
      <c r="UTK24" s="246"/>
      <c r="UTL24" s="246"/>
      <c r="UTM24" s="246"/>
      <c r="UTN24" s="246"/>
      <c r="UTO24" s="246"/>
      <c r="UTP24" s="246"/>
      <c r="UTQ24" s="246"/>
      <c r="UTR24" s="246"/>
      <c r="UTS24" s="246"/>
      <c r="UTT24" s="246"/>
      <c r="UTU24" s="246"/>
      <c r="UTV24" s="246"/>
      <c r="UTW24" s="246"/>
      <c r="UTX24" s="246"/>
      <c r="UTY24" s="246"/>
      <c r="UTZ24" s="246"/>
      <c r="UUA24" s="246"/>
      <c r="UUB24" s="246"/>
      <c r="UUC24" s="246"/>
      <c r="UUD24" s="246"/>
      <c r="UUE24" s="246"/>
      <c r="UUF24" s="246"/>
      <c r="UUG24" s="246"/>
      <c r="UUH24" s="246"/>
      <c r="UUI24" s="246"/>
      <c r="UUJ24" s="246"/>
      <c r="UUK24" s="246"/>
      <c r="UUL24" s="246"/>
      <c r="UUM24" s="246"/>
      <c r="UUN24" s="246"/>
      <c r="UUO24" s="246"/>
      <c r="UUP24" s="246"/>
      <c r="UUQ24" s="246"/>
      <c r="UUR24" s="246"/>
      <c r="UUS24" s="246"/>
      <c r="UUT24" s="246"/>
      <c r="UUU24" s="246"/>
      <c r="UUV24" s="246"/>
      <c r="UUW24" s="246"/>
      <c r="UUX24" s="246"/>
      <c r="UUY24" s="246"/>
      <c r="UUZ24" s="246"/>
      <c r="UVA24" s="246"/>
      <c r="UVB24" s="246"/>
      <c r="UVC24" s="246"/>
      <c r="UVD24" s="246"/>
      <c r="UVE24" s="246"/>
      <c r="UVF24" s="246"/>
      <c r="UVG24" s="246"/>
      <c r="UVH24" s="246"/>
      <c r="UVI24" s="246"/>
      <c r="UVJ24" s="246"/>
      <c r="UVK24" s="246"/>
      <c r="UVL24" s="246"/>
      <c r="UVM24" s="246"/>
      <c r="UVN24" s="246"/>
      <c r="UVO24" s="246"/>
      <c r="UVP24" s="246"/>
      <c r="UVQ24" s="246"/>
      <c r="UVR24" s="246"/>
      <c r="UVS24" s="246"/>
      <c r="UVT24" s="246"/>
      <c r="UVU24" s="246"/>
      <c r="UVV24" s="246"/>
      <c r="UVW24" s="246"/>
      <c r="UVX24" s="246"/>
      <c r="UVY24" s="246"/>
      <c r="UVZ24" s="246"/>
      <c r="UWA24" s="246"/>
      <c r="UWB24" s="246"/>
      <c r="UWC24" s="246"/>
      <c r="UWD24" s="246"/>
      <c r="UWE24" s="246"/>
      <c r="UWF24" s="246"/>
      <c r="UWG24" s="246"/>
      <c r="UWH24" s="246"/>
      <c r="UWI24" s="246"/>
      <c r="UWJ24" s="246"/>
      <c r="UWK24" s="246"/>
      <c r="UWL24" s="246"/>
      <c r="UWM24" s="246"/>
      <c r="UWN24" s="246"/>
      <c r="UWO24" s="246"/>
      <c r="UWP24" s="246"/>
      <c r="UWQ24" s="246"/>
      <c r="UWR24" s="246"/>
      <c r="UWS24" s="246"/>
      <c r="UWT24" s="246"/>
      <c r="UWU24" s="246"/>
      <c r="UWV24" s="246"/>
      <c r="UWW24" s="246"/>
      <c r="UWX24" s="246"/>
      <c r="UWY24" s="246"/>
      <c r="UWZ24" s="246"/>
      <c r="UXA24" s="246"/>
      <c r="UXB24" s="246"/>
      <c r="UXC24" s="246"/>
      <c r="UXD24" s="246"/>
      <c r="UXE24" s="246"/>
      <c r="UXF24" s="246"/>
      <c r="UXG24" s="246"/>
      <c r="UXH24" s="246"/>
      <c r="UXI24" s="246"/>
      <c r="UXJ24" s="246"/>
      <c r="UXK24" s="246"/>
      <c r="UXL24" s="246"/>
      <c r="UXM24" s="246"/>
      <c r="UXN24" s="246"/>
      <c r="UXO24" s="246"/>
      <c r="UXP24" s="246"/>
      <c r="UXQ24" s="246"/>
      <c r="UXR24" s="246"/>
      <c r="UXS24" s="246"/>
      <c r="UXT24" s="246"/>
      <c r="UXU24" s="246"/>
      <c r="UXV24" s="246"/>
      <c r="UXW24" s="246"/>
      <c r="UXX24" s="246"/>
      <c r="UXY24" s="246"/>
      <c r="UXZ24" s="246"/>
      <c r="UYA24" s="246"/>
      <c r="UYB24" s="246"/>
      <c r="UYC24" s="246"/>
      <c r="UYD24" s="246"/>
      <c r="UYE24" s="246"/>
      <c r="UYF24" s="246"/>
      <c r="UYG24" s="246"/>
      <c r="UYH24" s="246"/>
      <c r="UYI24" s="246"/>
      <c r="UYJ24" s="246"/>
      <c r="UYK24" s="246"/>
      <c r="UYL24" s="246"/>
      <c r="UYM24" s="246"/>
      <c r="UYN24" s="246"/>
      <c r="UYO24" s="246"/>
      <c r="UYP24" s="246"/>
      <c r="UYQ24" s="246"/>
      <c r="UYR24" s="246"/>
      <c r="UYS24" s="246"/>
      <c r="UYT24" s="246"/>
      <c r="UYU24" s="246"/>
      <c r="UYV24" s="246"/>
      <c r="UYW24" s="246"/>
      <c r="UYX24" s="246"/>
      <c r="UYY24" s="246"/>
      <c r="UYZ24" s="246"/>
      <c r="UZA24" s="246"/>
      <c r="UZB24" s="246"/>
      <c r="UZC24" s="246"/>
      <c r="UZD24" s="246"/>
      <c r="UZE24" s="246"/>
      <c r="UZF24" s="246"/>
      <c r="UZG24" s="246"/>
      <c r="UZH24" s="246"/>
      <c r="UZI24" s="246"/>
      <c r="UZJ24" s="246"/>
      <c r="UZK24" s="246"/>
      <c r="UZL24" s="246"/>
      <c r="UZM24" s="246"/>
      <c r="UZN24" s="246"/>
      <c r="UZO24" s="246"/>
      <c r="UZP24" s="246"/>
      <c r="UZQ24" s="246"/>
      <c r="UZR24" s="246"/>
      <c r="UZS24" s="246"/>
      <c r="UZT24" s="246"/>
      <c r="UZU24" s="246"/>
      <c r="UZV24" s="246"/>
      <c r="UZW24" s="246"/>
      <c r="UZX24" s="246"/>
      <c r="UZY24" s="246"/>
      <c r="UZZ24" s="246"/>
      <c r="VAA24" s="246"/>
      <c r="VAB24" s="246"/>
      <c r="VAC24" s="246"/>
      <c r="VAD24" s="246"/>
      <c r="VAE24" s="246"/>
      <c r="VAF24" s="246"/>
      <c r="VAG24" s="246"/>
      <c r="VAH24" s="246"/>
      <c r="VAI24" s="246"/>
      <c r="VAJ24" s="246"/>
      <c r="VAK24" s="246"/>
      <c r="VAL24" s="246"/>
      <c r="VAM24" s="246"/>
      <c r="VAN24" s="246"/>
      <c r="VAO24" s="246"/>
      <c r="VAP24" s="246"/>
      <c r="VAQ24" s="246"/>
      <c r="VAR24" s="246"/>
      <c r="VAS24" s="246"/>
      <c r="VAT24" s="246"/>
      <c r="VAU24" s="246"/>
      <c r="VAV24" s="246"/>
      <c r="VAW24" s="246"/>
      <c r="VAX24" s="246"/>
      <c r="VAY24" s="246"/>
      <c r="VAZ24" s="246"/>
      <c r="VBA24" s="246"/>
      <c r="VBB24" s="246"/>
      <c r="VBC24" s="246"/>
      <c r="VBD24" s="246"/>
      <c r="VBE24" s="246"/>
      <c r="VBF24" s="246"/>
      <c r="VBG24" s="246"/>
      <c r="VBH24" s="246"/>
      <c r="VBI24" s="246"/>
      <c r="VBJ24" s="246"/>
      <c r="VBK24" s="246"/>
      <c r="VBL24" s="246"/>
      <c r="VBM24" s="246"/>
      <c r="VBN24" s="246"/>
      <c r="VBO24" s="246"/>
      <c r="VBP24" s="246"/>
      <c r="VBQ24" s="246"/>
      <c r="VBR24" s="246"/>
      <c r="VBS24" s="246"/>
      <c r="VBT24" s="246"/>
      <c r="VBU24" s="246"/>
      <c r="VBV24" s="246"/>
      <c r="VBW24" s="246"/>
      <c r="VBX24" s="246"/>
      <c r="VBY24" s="246"/>
      <c r="VBZ24" s="246"/>
      <c r="VCA24" s="246"/>
      <c r="VCB24" s="246"/>
      <c r="VCC24" s="246"/>
      <c r="VCD24" s="246"/>
      <c r="VCE24" s="246"/>
      <c r="VCF24" s="246"/>
      <c r="VCG24" s="246"/>
      <c r="VCH24" s="246"/>
      <c r="VCI24" s="246"/>
      <c r="VCJ24" s="246"/>
      <c r="VCK24" s="246"/>
      <c r="VCL24" s="246"/>
      <c r="VCM24" s="246"/>
      <c r="VCN24" s="246"/>
      <c r="VCO24" s="246"/>
      <c r="VCP24" s="246"/>
      <c r="VCQ24" s="246"/>
      <c r="VCR24" s="246"/>
      <c r="VCS24" s="246"/>
      <c r="VCT24" s="246"/>
      <c r="VCU24" s="246"/>
      <c r="VCV24" s="246"/>
      <c r="VCW24" s="246"/>
      <c r="VCX24" s="246"/>
      <c r="VCY24" s="246"/>
      <c r="VCZ24" s="246"/>
      <c r="VDA24" s="246"/>
      <c r="VDB24" s="246"/>
      <c r="VDC24" s="246"/>
      <c r="VDD24" s="246"/>
      <c r="VDE24" s="246"/>
      <c r="VDF24" s="246"/>
      <c r="VDG24" s="246"/>
      <c r="VDH24" s="246"/>
      <c r="VDI24" s="246"/>
      <c r="VDJ24" s="246"/>
      <c r="VDK24" s="246"/>
      <c r="VDL24" s="246"/>
      <c r="VDM24" s="246"/>
      <c r="VDN24" s="246"/>
      <c r="VDO24" s="246"/>
      <c r="VDP24" s="246"/>
      <c r="VDQ24" s="246"/>
      <c r="VDR24" s="246"/>
      <c r="VDS24" s="246"/>
      <c r="VDT24" s="246"/>
      <c r="VDU24" s="246"/>
      <c r="VDV24" s="246"/>
      <c r="VDW24" s="246"/>
      <c r="VDX24" s="246"/>
      <c r="VDY24" s="246"/>
      <c r="VDZ24" s="246"/>
      <c r="VEA24" s="246"/>
      <c r="VEB24" s="246"/>
      <c r="VEC24" s="246"/>
      <c r="VED24" s="246"/>
      <c r="VEE24" s="246"/>
      <c r="VEF24" s="246"/>
      <c r="VEG24" s="246"/>
      <c r="VEH24" s="246"/>
      <c r="VEI24" s="246"/>
      <c r="VEJ24" s="246"/>
      <c r="VEK24" s="246"/>
      <c r="VEL24" s="246"/>
      <c r="VEM24" s="246"/>
      <c r="VEN24" s="246"/>
      <c r="VEO24" s="246"/>
      <c r="VEP24" s="246"/>
      <c r="VEQ24" s="246"/>
      <c r="VER24" s="246"/>
      <c r="VES24" s="246"/>
      <c r="VET24" s="246"/>
      <c r="VEU24" s="246"/>
      <c r="VEV24" s="246"/>
      <c r="VEW24" s="246"/>
      <c r="VEX24" s="246"/>
      <c r="VEY24" s="246"/>
      <c r="VEZ24" s="246"/>
      <c r="VFA24" s="246"/>
      <c r="VFB24" s="246"/>
      <c r="VFC24" s="246"/>
      <c r="VFD24" s="246"/>
      <c r="VFE24" s="246"/>
      <c r="VFF24" s="246"/>
      <c r="VFG24" s="246"/>
      <c r="VFH24" s="246"/>
      <c r="VFI24" s="246"/>
      <c r="VFJ24" s="246"/>
      <c r="VFK24" s="246"/>
      <c r="VFL24" s="246"/>
      <c r="VFM24" s="246"/>
      <c r="VFN24" s="246"/>
      <c r="VFO24" s="246"/>
      <c r="VFP24" s="246"/>
      <c r="VFQ24" s="246"/>
      <c r="VFR24" s="246"/>
      <c r="VFS24" s="246"/>
      <c r="VFT24" s="246"/>
      <c r="VFU24" s="246"/>
      <c r="VFV24" s="246"/>
      <c r="VFW24" s="246"/>
      <c r="VFX24" s="246"/>
      <c r="VFY24" s="246"/>
      <c r="VFZ24" s="246"/>
      <c r="VGA24" s="246"/>
      <c r="VGB24" s="246"/>
      <c r="VGC24" s="246"/>
      <c r="VGD24" s="246"/>
      <c r="VGE24" s="246"/>
      <c r="VGF24" s="246"/>
      <c r="VGG24" s="246"/>
      <c r="VGH24" s="246"/>
      <c r="VGI24" s="246"/>
      <c r="VGJ24" s="246"/>
      <c r="VGK24" s="246"/>
      <c r="VGL24" s="246"/>
      <c r="VGM24" s="246"/>
      <c r="VGN24" s="246"/>
      <c r="VGO24" s="246"/>
      <c r="VGP24" s="246"/>
      <c r="VGQ24" s="246"/>
      <c r="VGR24" s="246"/>
      <c r="VGS24" s="246"/>
      <c r="VGT24" s="246"/>
      <c r="VGU24" s="246"/>
      <c r="VGV24" s="246"/>
      <c r="VGW24" s="246"/>
      <c r="VGX24" s="246"/>
      <c r="VGY24" s="246"/>
      <c r="VGZ24" s="246"/>
      <c r="VHA24" s="246"/>
      <c r="VHB24" s="246"/>
      <c r="VHC24" s="246"/>
      <c r="VHD24" s="246"/>
      <c r="VHE24" s="246"/>
      <c r="VHF24" s="246"/>
      <c r="VHG24" s="246"/>
      <c r="VHH24" s="246"/>
      <c r="VHI24" s="246"/>
      <c r="VHJ24" s="246"/>
      <c r="VHK24" s="246"/>
      <c r="VHL24" s="246"/>
      <c r="VHM24" s="246"/>
      <c r="VHN24" s="246"/>
      <c r="VHO24" s="246"/>
      <c r="VHP24" s="246"/>
      <c r="VHQ24" s="246"/>
      <c r="VHR24" s="246"/>
      <c r="VHS24" s="246"/>
      <c r="VHT24" s="246"/>
      <c r="VHU24" s="246"/>
      <c r="VHV24" s="246"/>
      <c r="VHW24" s="246"/>
      <c r="VHX24" s="246"/>
      <c r="VHY24" s="246"/>
      <c r="VHZ24" s="246"/>
      <c r="VIA24" s="246"/>
      <c r="VIB24" s="246"/>
      <c r="VIC24" s="246"/>
      <c r="VID24" s="246"/>
      <c r="VIE24" s="246"/>
      <c r="VIF24" s="246"/>
      <c r="VIG24" s="246"/>
      <c r="VIH24" s="246"/>
      <c r="VII24" s="246"/>
      <c r="VIJ24" s="246"/>
      <c r="VIK24" s="246"/>
      <c r="VIL24" s="246"/>
      <c r="VIM24" s="246"/>
      <c r="VIN24" s="246"/>
      <c r="VIO24" s="246"/>
      <c r="VIP24" s="246"/>
      <c r="VIQ24" s="246"/>
      <c r="VIR24" s="246"/>
      <c r="VIS24" s="246"/>
      <c r="VIT24" s="246"/>
      <c r="VIU24" s="246"/>
      <c r="VIV24" s="246"/>
      <c r="VIW24" s="246"/>
      <c r="VIX24" s="246"/>
      <c r="VIY24" s="246"/>
      <c r="VIZ24" s="246"/>
      <c r="VJA24" s="246"/>
      <c r="VJB24" s="246"/>
      <c r="VJC24" s="246"/>
      <c r="VJD24" s="246"/>
      <c r="VJE24" s="246"/>
      <c r="VJF24" s="246"/>
      <c r="VJG24" s="246"/>
      <c r="VJH24" s="246"/>
      <c r="VJI24" s="246"/>
      <c r="VJJ24" s="246"/>
      <c r="VJK24" s="246"/>
      <c r="VJL24" s="246"/>
      <c r="VJM24" s="246"/>
      <c r="VJN24" s="246"/>
      <c r="VJO24" s="246"/>
      <c r="VJP24" s="246"/>
      <c r="VJQ24" s="246"/>
      <c r="VJR24" s="246"/>
      <c r="VJS24" s="246"/>
      <c r="VJT24" s="246"/>
      <c r="VJU24" s="246"/>
      <c r="VJV24" s="246"/>
      <c r="VJW24" s="246"/>
      <c r="VJX24" s="246"/>
      <c r="VJY24" s="246"/>
      <c r="VJZ24" s="246"/>
      <c r="VKA24" s="246"/>
      <c r="VKB24" s="246"/>
      <c r="VKC24" s="246"/>
      <c r="VKD24" s="246"/>
      <c r="VKE24" s="246"/>
      <c r="VKF24" s="246"/>
      <c r="VKG24" s="246"/>
      <c r="VKH24" s="246"/>
      <c r="VKI24" s="246"/>
      <c r="VKJ24" s="246"/>
      <c r="VKK24" s="246"/>
      <c r="VKL24" s="246"/>
      <c r="VKM24" s="246"/>
      <c r="VKN24" s="246"/>
      <c r="VKO24" s="246"/>
      <c r="VKP24" s="246"/>
      <c r="VKQ24" s="246"/>
      <c r="VKR24" s="246"/>
      <c r="VKS24" s="246"/>
      <c r="VKT24" s="246"/>
      <c r="VKU24" s="246"/>
      <c r="VKV24" s="246"/>
      <c r="VKW24" s="246"/>
      <c r="VKX24" s="246"/>
      <c r="VKY24" s="246"/>
      <c r="VKZ24" s="246"/>
      <c r="VLA24" s="246"/>
      <c r="VLB24" s="246"/>
      <c r="VLC24" s="246"/>
      <c r="VLD24" s="246"/>
      <c r="VLE24" s="246"/>
      <c r="VLF24" s="246"/>
      <c r="VLG24" s="246"/>
      <c r="VLH24" s="246"/>
      <c r="VLI24" s="246"/>
      <c r="VLJ24" s="246"/>
      <c r="VLK24" s="246"/>
      <c r="VLL24" s="246"/>
      <c r="VLM24" s="246"/>
      <c r="VLN24" s="246"/>
      <c r="VLO24" s="246"/>
      <c r="VLP24" s="246"/>
      <c r="VLQ24" s="246"/>
      <c r="VLR24" s="246"/>
      <c r="VLS24" s="246"/>
      <c r="VLT24" s="246"/>
      <c r="VLU24" s="246"/>
      <c r="VLV24" s="246"/>
      <c r="VLW24" s="246"/>
      <c r="VLX24" s="246"/>
      <c r="VLY24" s="246"/>
      <c r="VLZ24" s="246"/>
      <c r="VMA24" s="246"/>
      <c r="VMB24" s="246"/>
      <c r="VMC24" s="246"/>
      <c r="VMD24" s="246"/>
      <c r="VME24" s="246"/>
      <c r="VMF24" s="246"/>
      <c r="VMG24" s="246"/>
      <c r="VMH24" s="246"/>
      <c r="VMI24" s="246"/>
      <c r="VMJ24" s="246"/>
      <c r="VMK24" s="246"/>
      <c r="VML24" s="246"/>
      <c r="VMM24" s="246"/>
      <c r="VMN24" s="246"/>
      <c r="VMO24" s="246"/>
      <c r="VMP24" s="246"/>
      <c r="VMQ24" s="246"/>
      <c r="VMR24" s="246"/>
      <c r="VMS24" s="246"/>
      <c r="VMT24" s="246"/>
      <c r="VMU24" s="246"/>
      <c r="VMV24" s="246"/>
      <c r="VMW24" s="246"/>
      <c r="VMX24" s="246"/>
      <c r="VMY24" s="246"/>
      <c r="VMZ24" s="246"/>
      <c r="VNA24" s="246"/>
      <c r="VNB24" s="246"/>
      <c r="VNC24" s="246"/>
      <c r="VND24" s="246"/>
      <c r="VNE24" s="246"/>
      <c r="VNF24" s="246"/>
      <c r="VNG24" s="246"/>
      <c r="VNH24" s="246"/>
      <c r="VNI24" s="246"/>
      <c r="VNJ24" s="246"/>
      <c r="VNK24" s="246"/>
      <c r="VNL24" s="246"/>
      <c r="VNM24" s="246"/>
      <c r="VNN24" s="246"/>
      <c r="VNO24" s="246"/>
      <c r="VNP24" s="246"/>
      <c r="VNQ24" s="246"/>
      <c r="VNR24" s="246"/>
      <c r="VNS24" s="246"/>
      <c r="VNT24" s="246"/>
      <c r="VNU24" s="246"/>
      <c r="VNV24" s="246"/>
      <c r="VNW24" s="246"/>
      <c r="VNX24" s="246"/>
      <c r="VNY24" s="246"/>
      <c r="VNZ24" s="246"/>
      <c r="VOA24" s="246"/>
      <c r="VOB24" s="246"/>
      <c r="VOC24" s="246"/>
      <c r="VOD24" s="246"/>
      <c r="VOE24" s="246"/>
      <c r="VOF24" s="246"/>
      <c r="VOG24" s="246"/>
      <c r="VOH24" s="246"/>
      <c r="VOI24" s="246"/>
      <c r="VOJ24" s="246"/>
      <c r="VOK24" s="246"/>
      <c r="VOL24" s="246"/>
      <c r="VOM24" s="246"/>
      <c r="VON24" s="246"/>
      <c r="VOO24" s="246"/>
      <c r="VOP24" s="246"/>
      <c r="VOQ24" s="246"/>
      <c r="VOR24" s="246"/>
      <c r="VOS24" s="246"/>
      <c r="VOT24" s="246"/>
      <c r="VOU24" s="246"/>
      <c r="VOV24" s="246"/>
      <c r="VOW24" s="246"/>
      <c r="VOX24" s="246"/>
      <c r="VOY24" s="246"/>
      <c r="VOZ24" s="246"/>
      <c r="VPA24" s="246"/>
      <c r="VPB24" s="246"/>
      <c r="VPC24" s="246"/>
      <c r="VPD24" s="246"/>
      <c r="VPE24" s="246"/>
      <c r="VPF24" s="246"/>
      <c r="VPG24" s="246"/>
      <c r="VPH24" s="246"/>
      <c r="VPI24" s="246"/>
      <c r="VPJ24" s="246"/>
      <c r="VPK24" s="246"/>
      <c r="VPL24" s="246"/>
      <c r="VPM24" s="246"/>
      <c r="VPN24" s="246"/>
      <c r="VPO24" s="246"/>
      <c r="VPP24" s="246"/>
      <c r="VPQ24" s="246"/>
      <c r="VPR24" s="246"/>
      <c r="VPS24" s="246"/>
      <c r="VPT24" s="246"/>
      <c r="VPU24" s="246"/>
      <c r="VPV24" s="246"/>
      <c r="VPW24" s="246"/>
      <c r="VPX24" s="246"/>
      <c r="VPY24" s="246"/>
      <c r="VPZ24" s="246"/>
      <c r="VQA24" s="246"/>
      <c r="VQB24" s="246"/>
      <c r="VQC24" s="246"/>
      <c r="VQD24" s="246"/>
      <c r="VQE24" s="246"/>
      <c r="VQF24" s="246"/>
      <c r="VQG24" s="246"/>
      <c r="VQH24" s="246"/>
      <c r="VQI24" s="246"/>
      <c r="VQJ24" s="246"/>
      <c r="VQK24" s="246"/>
      <c r="VQL24" s="246"/>
      <c r="VQM24" s="246"/>
      <c r="VQN24" s="246"/>
      <c r="VQO24" s="246"/>
      <c r="VQP24" s="246"/>
      <c r="VQQ24" s="246"/>
      <c r="VQR24" s="246"/>
      <c r="VQS24" s="246"/>
      <c r="VQT24" s="246"/>
      <c r="VQU24" s="246"/>
      <c r="VQV24" s="246"/>
      <c r="VQW24" s="246"/>
      <c r="VQX24" s="246"/>
      <c r="VQY24" s="246"/>
      <c r="VQZ24" s="246"/>
      <c r="VRA24" s="246"/>
      <c r="VRB24" s="246"/>
      <c r="VRC24" s="246"/>
      <c r="VRD24" s="246"/>
      <c r="VRE24" s="246"/>
      <c r="VRF24" s="246"/>
      <c r="VRG24" s="246"/>
      <c r="VRH24" s="246"/>
      <c r="VRI24" s="246"/>
      <c r="VRJ24" s="246"/>
      <c r="VRK24" s="246"/>
      <c r="VRL24" s="246"/>
      <c r="VRM24" s="246"/>
      <c r="VRN24" s="246"/>
      <c r="VRO24" s="246"/>
      <c r="VRP24" s="246"/>
      <c r="VRQ24" s="246"/>
      <c r="VRR24" s="246"/>
      <c r="VRS24" s="246"/>
      <c r="VRT24" s="246"/>
      <c r="VRU24" s="246"/>
      <c r="VRV24" s="246"/>
      <c r="VRW24" s="246"/>
      <c r="VRX24" s="246"/>
      <c r="VRY24" s="246"/>
      <c r="VRZ24" s="246"/>
      <c r="VSA24" s="246"/>
      <c r="VSB24" s="246"/>
      <c r="VSC24" s="246"/>
      <c r="VSD24" s="246"/>
      <c r="VSE24" s="246"/>
      <c r="VSF24" s="246"/>
      <c r="VSG24" s="246"/>
      <c r="VSH24" s="246"/>
      <c r="VSI24" s="246"/>
      <c r="VSJ24" s="246"/>
      <c r="VSK24" s="246"/>
      <c r="VSL24" s="246"/>
      <c r="VSM24" s="246"/>
      <c r="VSN24" s="246"/>
      <c r="VSO24" s="246"/>
      <c r="VSP24" s="246"/>
      <c r="VSQ24" s="246"/>
      <c r="VSR24" s="246"/>
      <c r="VSS24" s="246"/>
      <c r="VST24" s="246"/>
      <c r="VSU24" s="246"/>
      <c r="VSV24" s="246"/>
      <c r="VSW24" s="246"/>
      <c r="VSX24" s="246"/>
      <c r="VSY24" s="246"/>
      <c r="VSZ24" s="246"/>
      <c r="VTA24" s="246"/>
      <c r="VTB24" s="246"/>
      <c r="VTC24" s="246"/>
      <c r="VTD24" s="246"/>
      <c r="VTE24" s="246"/>
      <c r="VTF24" s="246"/>
      <c r="VTG24" s="246"/>
      <c r="VTH24" s="246"/>
      <c r="VTI24" s="246"/>
      <c r="VTJ24" s="246"/>
      <c r="VTK24" s="246"/>
      <c r="VTL24" s="246"/>
      <c r="VTM24" s="246"/>
      <c r="VTN24" s="246"/>
      <c r="VTO24" s="246"/>
      <c r="VTP24" s="246"/>
      <c r="VTQ24" s="246"/>
      <c r="VTR24" s="246"/>
      <c r="VTS24" s="246"/>
      <c r="VTT24" s="246"/>
      <c r="VTU24" s="246"/>
      <c r="VTV24" s="246"/>
      <c r="VTW24" s="246"/>
      <c r="VTX24" s="246"/>
      <c r="VTY24" s="246"/>
      <c r="VTZ24" s="246"/>
      <c r="VUA24" s="246"/>
      <c r="VUB24" s="246"/>
      <c r="VUC24" s="246"/>
      <c r="VUD24" s="246"/>
      <c r="VUE24" s="246"/>
      <c r="VUF24" s="246"/>
      <c r="VUG24" s="246"/>
      <c r="VUH24" s="246"/>
      <c r="VUI24" s="246"/>
      <c r="VUJ24" s="246"/>
      <c r="VUK24" s="246"/>
      <c r="VUL24" s="246"/>
      <c r="VUM24" s="246"/>
      <c r="VUN24" s="246"/>
      <c r="VUO24" s="246"/>
      <c r="VUP24" s="246"/>
      <c r="VUQ24" s="246"/>
      <c r="VUR24" s="246"/>
      <c r="VUS24" s="246"/>
      <c r="VUT24" s="246"/>
      <c r="VUU24" s="246"/>
      <c r="VUV24" s="246"/>
      <c r="VUW24" s="246"/>
      <c r="VUX24" s="246"/>
      <c r="VUY24" s="246"/>
      <c r="VUZ24" s="246"/>
      <c r="VVA24" s="246"/>
      <c r="VVB24" s="246"/>
      <c r="VVC24" s="246"/>
      <c r="VVD24" s="246"/>
      <c r="VVE24" s="246"/>
      <c r="VVF24" s="246"/>
      <c r="VVG24" s="246"/>
      <c r="VVH24" s="246"/>
      <c r="VVI24" s="246"/>
      <c r="VVJ24" s="246"/>
      <c r="VVK24" s="246"/>
      <c r="VVL24" s="246"/>
      <c r="VVM24" s="246"/>
      <c r="VVN24" s="246"/>
      <c r="VVO24" s="246"/>
      <c r="VVP24" s="246"/>
      <c r="VVQ24" s="246"/>
      <c r="VVR24" s="246"/>
      <c r="VVS24" s="246"/>
      <c r="VVT24" s="246"/>
      <c r="VVU24" s="246"/>
      <c r="VVV24" s="246"/>
      <c r="VVW24" s="246"/>
      <c r="VVX24" s="246"/>
      <c r="VVY24" s="246"/>
      <c r="VVZ24" s="246"/>
      <c r="VWA24" s="246"/>
      <c r="VWB24" s="246"/>
      <c r="VWC24" s="246"/>
      <c r="VWD24" s="246"/>
      <c r="VWE24" s="246"/>
      <c r="VWF24" s="246"/>
      <c r="VWG24" s="246"/>
      <c r="VWH24" s="246"/>
      <c r="VWI24" s="246"/>
      <c r="VWJ24" s="246"/>
      <c r="VWK24" s="246"/>
      <c r="VWL24" s="246"/>
      <c r="VWM24" s="246"/>
      <c r="VWN24" s="246"/>
      <c r="VWO24" s="246"/>
      <c r="VWP24" s="246"/>
      <c r="VWQ24" s="246"/>
      <c r="VWR24" s="246"/>
      <c r="VWS24" s="246"/>
      <c r="VWT24" s="246"/>
      <c r="VWU24" s="246"/>
      <c r="VWV24" s="246"/>
      <c r="VWW24" s="246"/>
      <c r="VWX24" s="246"/>
      <c r="VWY24" s="246"/>
      <c r="VWZ24" s="246"/>
      <c r="VXA24" s="246"/>
      <c r="VXB24" s="246"/>
      <c r="VXC24" s="246"/>
      <c r="VXD24" s="246"/>
      <c r="VXE24" s="246"/>
      <c r="VXF24" s="246"/>
      <c r="VXG24" s="246"/>
      <c r="VXH24" s="246"/>
      <c r="VXI24" s="246"/>
      <c r="VXJ24" s="246"/>
      <c r="VXK24" s="246"/>
      <c r="VXL24" s="246"/>
      <c r="VXM24" s="246"/>
      <c r="VXN24" s="246"/>
      <c r="VXO24" s="246"/>
      <c r="VXP24" s="246"/>
      <c r="VXQ24" s="246"/>
      <c r="VXR24" s="246"/>
      <c r="VXS24" s="246"/>
      <c r="VXT24" s="246"/>
      <c r="VXU24" s="246"/>
      <c r="VXV24" s="246"/>
      <c r="VXW24" s="246"/>
      <c r="VXX24" s="246"/>
      <c r="VXY24" s="246"/>
      <c r="VXZ24" s="246"/>
      <c r="VYA24" s="246"/>
      <c r="VYB24" s="246"/>
      <c r="VYC24" s="246"/>
      <c r="VYD24" s="246"/>
      <c r="VYE24" s="246"/>
      <c r="VYF24" s="246"/>
      <c r="VYG24" s="246"/>
      <c r="VYH24" s="246"/>
      <c r="VYI24" s="246"/>
      <c r="VYJ24" s="246"/>
      <c r="VYK24" s="246"/>
      <c r="VYL24" s="246"/>
      <c r="VYM24" s="246"/>
      <c r="VYN24" s="246"/>
      <c r="VYO24" s="246"/>
      <c r="VYP24" s="246"/>
      <c r="VYQ24" s="246"/>
      <c r="VYR24" s="246"/>
      <c r="VYS24" s="246"/>
      <c r="VYT24" s="246"/>
      <c r="VYU24" s="246"/>
      <c r="VYV24" s="246"/>
      <c r="VYW24" s="246"/>
      <c r="VYX24" s="246"/>
      <c r="VYY24" s="246"/>
      <c r="VYZ24" s="246"/>
      <c r="VZA24" s="246"/>
      <c r="VZB24" s="246"/>
      <c r="VZC24" s="246"/>
      <c r="VZD24" s="246"/>
      <c r="VZE24" s="246"/>
      <c r="VZF24" s="246"/>
      <c r="VZG24" s="246"/>
      <c r="VZH24" s="246"/>
      <c r="VZI24" s="246"/>
      <c r="VZJ24" s="246"/>
      <c r="VZK24" s="246"/>
      <c r="VZL24" s="246"/>
      <c r="VZM24" s="246"/>
      <c r="VZN24" s="246"/>
      <c r="VZO24" s="246"/>
      <c r="VZP24" s="246"/>
      <c r="VZQ24" s="246"/>
      <c r="VZR24" s="246"/>
      <c r="VZS24" s="246"/>
      <c r="VZT24" s="246"/>
      <c r="VZU24" s="246"/>
      <c r="VZV24" s="246"/>
      <c r="VZW24" s="246"/>
      <c r="VZX24" s="246"/>
      <c r="VZY24" s="246"/>
      <c r="VZZ24" s="246"/>
      <c r="WAA24" s="246"/>
      <c r="WAB24" s="246"/>
      <c r="WAC24" s="246"/>
      <c r="WAD24" s="246"/>
      <c r="WAE24" s="246"/>
      <c r="WAF24" s="246"/>
      <c r="WAG24" s="246"/>
      <c r="WAH24" s="246"/>
      <c r="WAI24" s="246"/>
      <c r="WAJ24" s="246"/>
      <c r="WAK24" s="246"/>
      <c r="WAL24" s="246"/>
      <c r="WAM24" s="246"/>
      <c r="WAN24" s="246"/>
      <c r="WAO24" s="246"/>
      <c r="WAP24" s="246"/>
      <c r="WAQ24" s="246"/>
      <c r="WAR24" s="246"/>
      <c r="WAS24" s="246"/>
      <c r="WAT24" s="246"/>
      <c r="WAU24" s="246"/>
      <c r="WAV24" s="246"/>
      <c r="WAW24" s="246"/>
      <c r="WAX24" s="246"/>
      <c r="WAY24" s="246"/>
      <c r="WAZ24" s="246"/>
      <c r="WBA24" s="246"/>
      <c r="WBB24" s="246"/>
      <c r="WBC24" s="246"/>
      <c r="WBD24" s="246"/>
      <c r="WBE24" s="246"/>
      <c r="WBF24" s="246"/>
      <c r="WBG24" s="246"/>
      <c r="WBH24" s="246"/>
      <c r="WBI24" s="246"/>
      <c r="WBJ24" s="246"/>
      <c r="WBK24" s="246"/>
      <c r="WBL24" s="246"/>
      <c r="WBM24" s="246"/>
      <c r="WBN24" s="246"/>
      <c r="WBO24" s="246"/>
      <c r="WBP24" s="246"/>
      <c r="WBQ24" s="246"/>
      <c r="WBR24" s="246"/>
      <c r="WBS24" s="246"/>
      <c r="WBT24" s="246"/>
      <c r="WBU24" s="246"/>
      <c r="WBV24" s="246"/>
      <c r="WBW24" s="246"/>
      <c r="WBX24" s="246"/>
      <c r="WBY24" s="246"/>
      <c r="WBZ24" s="246"/>
      <c r="WCA24" s="246"/>
      <c r="WCB24" s="246"/>
      <c r="WCC24" s="246"/>
      <c r="WCD24" s="246"/>
      <c r="WCE24" s="246"/>
      <c r="WCF24" s="246"/>
      <c r="WCG24" s="246"/>
      <c r="WCH24" s="246"/>
      <c r="WCI24" s="246"/>
      <c r="WCJ24" s="246"/>
      <c r="WCK24" s="246"/>
      <c r="WCL24" s="246"/>
      <c r="WCM24" s="246"/>
      <c r="WCN24" s="246"/>
      <c r="WCO24" s="246"/>
      <c r="WCP24" s="246"/>
      <c r="WCQ24" s="246"/>
      <c r="WCR24" s="246"/>
      <c r="WCS24" s="246"/>
      <c r="WCT24" s="246"/>
      <c r="WCU24" s="246"/>
      <c r="WCV24" s="246"/>
      <c r="WCW24" s="246"/>
      <c r="WCX24" s="246"/>
      <c r="WCY24" s="246"/>
      <c r="WCZ24" s="246"/>
      <c r="WDA24" s="246"/>
      <c r="WDB24" s="246"/>
      <c r="WDC24" s="246"/>
      <c r="WDD24" s="246"/>
      <c r="WDE24" s="246"/>
      <c r="WDF24" s="246"/>
      <c r="WDG24" s="246"/>
      <c r="WDH24" s="246"/>
      <c r="WDI24" s="246"/>
      <c r="WDJ24" s="246"/>
      <c r="WDK24" s="246"/>
      <c r="WDL24" s="246"/>
      <c r="WDM24" s="246"/>
      <c r="WDN24" s="246"/>
      <c r="WDO24" s="246"/>
      <c r="WDP24" s="246"/>
      <c r="WDQ24" s="246"/>
      <c r="WDR24" s="246"/>
      <c r="WDS24" s="246"/>
      <c r="WDT24" s="246"/>
      <c r="WDU24" s="246"/>
      <c r="WDV24" s="246"/>
      <c r="WDW24" s="246"/>
      <c r="WDX24" s="246"/>
      <c r="WDY24" s="246"/>
      <c r="WDZ24" s="246"/>
      <c r="WEA24" s="246"/>
      <c r="WEB24" s="246"/>
      <c r="WEC24" s="246"/>
      <c r="WED24" s="246"/>
      <c r="WEE24" s="246"/>
      <c r="WEF24" s="246"/>
      <c r="WEG24" s="246"/>
      <c r="WEH24" s="246"/>
      <c r="WEI24" s="246"/>
      <c r="WEJ24" s="246"/>
      <c r="WEK24" s="246"/>
      <c r="WEL24" s="246"/>
      <c r="WEM24" s="246"/>
      <c r="WEN24" s="246"/>
      <c r="WEO24" s="246"/>
      <c r="WEP24" s="246"/>
      <c r="WEQ24" s="246"/>
      <c r="WER24" s="246"/>
      <c r="WES24" s="246"/>
      <c r="WET24" s="246"/>
      <c r="WEU24" s="246"/>
      <c r="WEV24" s="246"/>
      <c r="WEW24" s="246"/>
      <c r="WEX24" s="246"/>
      <c r="WEY24" s="246"/>
      <c r="WEZ24" s="246"/>
      <c r="WFA24" s="246"/>
      <c r="WFB24" s="246"/>
      <c r="WFC24" s="246"/>
      <c r="WFD24" s="246"/>
      <c r="WFE24" s="246"/>
      <c r="WFF24" s="246"/>
      <c r="WFG24" s="246"/>
      <c r="WFH24" s="246"/>
      <c r="WFI24" s="246"/>
      <c r="WFJ24" s="246"/>
      <c r="WFK24" s="246"/>
      <c r="WFL24" s="246"/>
      <c r="WFM24" s="246"/>
      <c r="WFN24" s="246"/>
      <c r="WFO24" s="246"/>
      <c r="WFP24" s="246"/>
      <c r="WFQ24" s="246"/>
      <c r="WFR24" s="246"/>
      <c r="WFS24" s="246"/>
      <c r="WFT24" s="246"/>
      <c r="WFU24" s="246"/>
      <c r="WFV24" s="246"/>
      <c r="WFW24" s="246"/>
      <c r="WFX24" s="246"/>
      <c r="WFY24" s="246"/>
      <c r="WFZ24" s="246"/>
      <c r="WGA24" s="246"/>
      <c r="WGB24" s="246"/>
      <c r="WGC24" s="246"/>
      <c r="WGD24" s="246"/>
      <c r="WGE24" s="246"/>
      <c r="WGF24" s="246"/>
      <c r="WGG24" s="246"/>
      <c r="WGH24" s="246"/>
      <c r="WGI24" s="246"/>
      <c r="WGJ24" s="246"/>
      <c r="WGK24" s="246"/>
      <c r="WGL24" s="246"/>
      <c r="WGM24" s="246"/>
      <c r="WGN24" s="246"/>
      <c r="WGO24" s="246"/>
      <c r="WGP24" s="246"/>
      <c r="WGQ24" s="246"/>
      <c r="WGR24" s="246"/>
      <c r="WGS24" s="246"/>
      <c r="WGT24" s="246"/>
      <c r="WGU24" s="246"/>
      <c r="WGV24" s="246"/>
      <c r="WGW24" s="246"/>
      <c r="WGX24" s="246"/>
      <c r="WGY24" s="246"/>
      <c r="WGZ24" s="246"/>
      <c r="WHA24" s="246"/>
      <c r="WHB24" s="246"/>
      <c r="WHC24" s="246"/>
      <c r="WHD24" s="246"/>
      <c r="WHE24" s="246"/>
      <c r="WHF24" s="246"/>
      <c r="WHG24" s="246"/>
      <c r="WHH24" s="246"/>
      <c r="WHI24" s="246"/>
      <c r="WHJ24" s="246"/>
      <c r="WHK24" s="246"/>
      <c r="WHL24" s="246"/>
      <c r="WHM24" s="246"/>
      <c r="WHN24" s="246"/>
      <c r="WHO24" s="246"/>
      <c r="WHP24" s="246"/>
      <c r="WHQ24" s="246"/>
      <c r="WHR24" s="246"/>
      <c r="WHS24" s="246"/>
      <c r="WHT24" s="246"/>
      <c r="WHU24" s="246"/>
      <c r="WHV24" s="246"/>
      <c r="WHW24" s="246"/>
      <c r="WHX24" s="246"/>
      <c r="WHY24" s="246"/>
      <c r="WHZ24" s="246"/>
      <c r="WIA24" s="246"/>
      <c r="WIB24" s="246"/>
      <c r="WIC24" s="246"/>
      <c r="WID24" s="246"/>
      <c r="WIE24" s="246"/>
      <c r="WIF24" s="246"/>
      <c r="WIG24" s="246"/>
      <c r="WIH24" s="246"/>
      <c r="WII24" s="246"/>
      <c r="WIJ24" s="246"/>
      <c r="WIK24" s="246"/>
      <c r="WIL24" s="246"/>
      <c r="WIM24" s="246"/>
      <c r="WIN24" s="246"/>
      <c r="WIO24" s="246"/>
      <c r="WIP24" s="246"/>
      <c r="WIQ24" s="246"/>
      <c r="WIR24" s="246"/>
      <c r="WIS24" s="246"/>
      <c r="WIT24" s="246"/>
      <c r="WIU24" s="246"/>
      <c r="WIV24" s="246"/>
      <c r="WIW24" s="246"/>
      <c r="WIX24" s="246"/>
      <c r="WIY24" s="246"/>
      <c r="WIZ24" s="246"/>
      <c r="WJA24" s="246"/>
      <c r="WJB24" s="246"/>
      <c r="WJC24" s="246"/>
      <c r="WJD24" s="246"/>
      <c r="WJE24" s="246"/>
      <c r="WJF24" s="246"/>
      <c r="WJG24" s="246"/>
      <c r="WJH24" s="246"/>
      <c r="WJI24" s="246"/>
      <c r="WJJ24" s="246"/>
      <c r="WJK24" s="246"/>
      <c r="WJL24" s="246"/>
      <c r="WJM24" s="246"/>
      <c r="WJN24" s="246"/>
      <c r="WJO24" s="246"/>
      <c r="WJP24" s="246"/>
      <c r="WJQ24" s="246"/>
      <c r="WJR24" s="246"/>
      <c r="WJS24" s="246"/>
      <c r="WJT24" s="246"/>
      <c r="WJU24" s="246"/>
      <c r="WJV24" s="246"/>
      <c r="WJW24" s="246"/>
      <c r="WJX24" s="246"/>
      <c r="WJY24" s="246"/>
      <c r="WJZ24" s="246"/>
      <c r="WKA24" s="246"/>
      <c r="WKB24" s="246"/>
      <c r="WKC24" s="246"/>
      <c r="WKD24" s="246"/>
      <c r="WKE24" s="246"/>
      <c r="WKF24" s="246"/>
      <c r="WKG24" s="246"/>
      <c r="WKH24" s="246"/>
      <c r="WKI24" s="246"/>
      <c r="WKJ24" s="246"/>
      <c r="WKK24" s="246"/>
      <c r="WKL24" s="246"/>
      <c r="WKM24" s="246"/>
      <c r="WKN24" s="246"/>
      <c r="WKO24" s="246"/>
      <c r="WKP24" s="246"/>
      <c r="WKQ24" s="246"/>
      <c r="WKR24" s="246"/>
      <c r="WKS24" s="246"/>
      <c r="WKT24" s="246"/>
      <c r="WKU24" s="246"/>
      <c r="WKV24" s="246"/>
      <c r="WKW24" s="246"/>
      <c r="WKX24" s="246"/>
      <c r="WKY24" s="246"/>
      <c r="WKZ24" s="246"/>
      <c r="WLA24" s="246"/>
      <c r="WLB24" s="246"/>
      <c r="WLC24" s="246"/>
      <c r="WLD24" s="246"/>
      <c r="WLE24" s="246"/>
      <c r="WLF24" s="246"/>
      <c r="WLG24" s="246"/>
      <c r="WLH24" s="246"/>
      <c r="WLI24" s="246"/>
      <c r="WLJ24" s="246"/>
      <c r="WLK24" s="246"/>
      <c r="WLL24" s="246"/>
      <c r="WLM24" s="246"/>
      <c r="WLN24" s="246"/>
      <c r="WLO24" s="246"/>
      <c r="WLP24" s="246"/>
      <c r="WLQ24" s="246"/>
      <c r="WLR24" s="246"/>
      <c r="WLS24" s="246"/>
      <c r="WLT24" s="246"/>
      <c r="WLU24" s="246"/>
      <c r="WLV24" s="246"/>
      <c r="WLW24" s="246"/>
      <c r="WLX24" s="246"/>
      <c r="WLY24" s="246"/>
      <c r="WLZ24" s="246"/>
      <c r="WMA24" s="246"/>
      <c r="WMB24" s="246"/>
      <c r="WMC24" s="246"/>
      <c r="WMD24" s="246"/>
      <c r="WME24" s="246"/>
      <c r="WMF24" s="246"/>
      <c r="WMG24" s="246"/>
      <c r="WMH24" s="246"/>
      <c r="WMI24" s="246"/>
      <c r="WMJ24" s="246"/>
      <c r="WMK24" s="246"/>
      <c r="WML24" s="246"/>
      <c r="WMM24" s="246"/>
      <c r="WMN24" s="246"/>
      <c r="WMO24" s="246"/>
      <c r="WMP24" s="246"/>
      <c r="WMQ24" s="246"/>
      <c r="WMR24" s="246"/>
      <c r="WMS24" s="246"/>
      <c r="WMT24" s="246"/>
      <c r="WMU24" s="246"/>
      <c r="WMV24" s="246"/>
      <c r="WMW24" s="246"/>
      <c r="WMX24" s="246"/>
      <c r="WMY24" s="246"/>
      <c r="WMZ24" s="246"/>
      <c r="WNA24" s="246"/>
      <c r="WNB24" s="246"/>
      <c r="WNC24" s="246"/>
      <c r="WND24" s="246"/>
      <c r="WNE24" s="246"/>
      <c r="WNF24" s="246"/>
      <c r="WNG24" s="246"/>
      <c r="WNH24" s="246"/>
      <c r="WNI24" s="246"/>
      <c r="WNJ24" s="246"/>
      <c r="WNK24" s="246"/>
      <c r="WNL24" s="246"/>
      <c r="WNM24" s="246"/>
      <c r="WNN24" s="246"/>
      <c r="WNO24" s="246"/>
      <c r="WNP24" s="246"/>
      <c r="WNQ24" s="246"/>
      <c r="WNR24" s="246"/>
      <c r="WNS24" s="246"/>
      <c r="WNT24" s="246"/>
      <c r="WNU24" s="246"/>
      <c r="WNV24" s="246"/>
      <c r="WNW24" s="246"/>
      <c r="WNX24" s="246"/>
      <c r="WNY24" s="246"/>
      <c r="WNZ24" s="246"/>
      <c r="WOA24" s="246"/>
      <c r="WOB24" s="246"/>
      <c r="WOC24" s="246"/>
      <c r="WOD24" s="246"/>
      <c r="WOE24" s="246"/>
      <c r="WOF24" s="246"/>
      <c r="WOG24" s="246"/>
      <c r="WOH24" s="246"/>
      <c r="WOI24" s="246"/>
      <c r="WOJ24" s="246"/>
      <c r="WOK24" s="246"/>
      <c r="WOL24" s="246"/>
      <c r="WOM24" s="246"/>
      <c r="WON24" s="246"/>
      <c r="WOO24" s="246"/>
      <c r="WOP24" s="246"/>
      <c r="WOQ24" s="246"/>
      <c r="WOR24" s="246"/>
      <c r="WOS24" s="246"/>
      <c r="WOT24" s="246"/>
      <c r="WOU24" s="246"/>
      <c r="WOV24" s="246"/>
      <c r="WOW24" s="246"/>
      <c r="WOX24" s="246"/>
      <c r="WOY24" s="246"/>
      <c r="WOZ24" s="246"/>
      <c r="WPA24" s="246"/>
      <c r="WPB24" s="246"/>
      <c r="WPC24" s="246"/>
      <c r="WPD24" s="246"/>
      <c r="WPE24" s="246"/>
      <c r="WPF24" s="246"/>
      <c r="WPG24" s="246"/>
      <c r="WPH24" s="246"/>
      <c r="WPI24" s="246"/>
      <c r="WPJ24" s="246"/>
      <c r="WPK24" s="246"/>
      <c r="WPL24" s="246"/>
      <c r="WPM24" s="246"/>
      <c r="WPN24" s="246"/>
      <c r="WPO24" s="246"/>
      <c r="WPP24" s="246"/>
      <c r="WPQ24" s="246"/>
      <c r="WPR24" s="246"/>
      <c r="WPS24" s="246"/>
      <c r="WPT24" s="246"/>
      <c r="WPU24" s="246"/>
      <c r="WPV24" s="246"/>
      <c r="WPW24" s="246"/>
      <c r="WPX24" s="246"/>
      <c r="WPY24" s="246"/>
      <c r="WPZ24" s="246"/>
      <c r="WQA24" s="246"/>
      <c r="WQB24" s="246"/>
      <c r="WQC24" s="246"/>
      <c r="WQD24" s="246"/>
      <c r="WQE24" s="246"/>
      <c r="WQF24" s="246"/>
      <c r="WQG24" s="246"/>
      <c r="WQH24" s="246"/>
      <c r="WQI24" s="246"/>
      <c r="WQJ24" s="246"/>
      <c r="WQK24" s="246"/>
      <c r="WQL24" s="246"/>
      <c r="WQM24" s="246"/>
      <c r="WQN24" s="246"/>
      <c r="WQO24" s="246"/>
      <c r="WQP24" s="246"/>
      <c r="WQQ24" s="246"/>
      <c r="WQR24" s="246"/>
      <c r="WQS24" s="246"/>
      <c r="WQT24" s="246"/>
      <c r="WQU24" s="246"/>
      <c r="WQV24" s="246"/>
      <c r="WQW24" s="246"/>
      <c r="WQX24" s="246"/>
      <c r="WQY24" s="246"/>
      <c r="WQZ24" s="246"/>
      <c r="WRA24" s="246"/>
      <c r="WRB24" s="246"/>
      <c r="WRC24" s="246"/>
      <c r="WRD24" s="246"/>
      <c r="WRE24" s="246"/>
      <c r="WRF24" s="246"/>
      <c r="WRG24" s="246"/>
      <c r="WRH24" s="246"/>
      <c r="WRI24" s="246"/>
      <c r="WRJ24" s="246"/>
      <c r="WRK24" s="246"/>
      <c r="WRL24" s="246"/>
      <c r="WRM24" s="246"/>
      <c r="WRN24" s="246"/>
      <c r="WRO24" s="246"/>
      <c r="WRP24" s="246"/>
      <c r="WRQ24" s="246"/>
      <c r="WRR24" s="246"/>
      <c r="WRS24" s="246"/>
      <c r="WRT24" s="246"/>
      <c r="WRU24" s="246"/>
      <c r="WRV24" s="246"/>
      <c r="WRW24" s="246"/>
      <c r="WRX24" s="246"/>
      <c r="WRY24" s="246"/>
      <c r="WRZ24" s="246"/>
      <c r="WSA24" s="246"/>
      <c r="WSB24" s="246"/>
      <c r="WSC24" s="246"/>
      <c r="WSD24" s="246"/>
      <c r="WSE24" s="246"/>
      <c r="WSF24" s="246"/>
      <c r="WSG24" s="246"/>
      <c r="WSH24" s="246"/>
      <c r="WSI24" s="246"/>
      <c r="WSJ24" s="246"/>
      <c r="WSK24" s="246"/>
      <c r="WSL24" s="246"/>
      <c r="WSM24" s="246"/>
      <c r="WSN24" s="246"/>
      <c r="WSO24" s="246"/>
      <c r="WSP24" s="246"/>
      <c r="WSQ24" s="246"/>
      <c r="WSR24" s="246"/>
      <c r="WSS24" s="246"/>
      <c r="WST24" s="246"/>
      <c r="WSU24" s="246"/>
      <c r="WSV24" s="246"/>
      <c r="WSW24" s="246"/>
      <c r="WSX24" s="246"/>
      <c r="WSY24" s="246"/>
      <c r="WSZ24" s="246"/>
      <c r="WTA24" s="246"/>
      <c r="WTB24" s="246"/>
      <c r="WTC24" s="246"/>
      <c r="WTD24" s="246"/>
      <c r="WTE24" s="246"/>
      <c r="WTF24" s="246"/>
      <c r="WTG24" s="246"/>
      <c r="WTH24" s="246"/>
      <c r="WTI24" s="246"/>
      <c r="WTJ24" s="246"/>
      <c r="WTK24" s="246"/>
      <c r="WTL24" s="246"/>
      <c r="WTM24" s="246"/>
      <c r="WTN24" s="246"/>
      <c r="WTO24" s="246"/>
      <c r="WTP24" s="246"/>
      <c r="WTQ24" s="246"/>
      <c r="WTR24" s="246"/>
      <c r="WTS24" s="246"/>
      <c r="WTT24" s="246"/>
      <c r="WTU24" s="246"/>
      <c r="WTV24" s="246"/>
      <c r="WTW24" s="246"/>
      <c r="WTX24" s="246"/>
      <c r="WTY24" s="246"/>
      <c r="WTZ24" s="246"/>
      <c r="WUA24" s="246"/>
      <c r="WUB24" s="246"/>
      <c r="WUC24" s="246"/>
      <c r="WUD24" s="246"/>
      <c r="WUE24" s="246"/>
      <c r="WUF24" s="246"/>
      <c r="WUG24" s="246"/>
      <c r="WUH24" s="246"/>
      <c r="WUI24" s="246"/>
      <c r="WUJ24" s="246"/>
      <c r="WUK24" s="246"/>
      <c r="WUL24" s="246"/>
      <c r="WUM24" s="246"/>
      <c r="WUN24" s="246"/>
      <c r="WUO24" s="246"/>
      <c r="WUP24" s="246"/>
      <c r="WUQ24" s="246"/>
      <c r="WUR24" s="246"/>
      <c r="WUS24" s="246"/>
      <c r="WUT24" s="246"/>
      <c r="WUU24" s="246"/>
      <c r="WUV24" s="246"/>
      <c r="WUW24" s="246"/>
      <c r="WUX24" s="246"/>
      <c r="WUY24" s="246"/>
      <c r="WUZ24" s="246"/>
      <c r="WVA24" s="246"/>
      <c r="WVB24" s="246"/>
      <c r="WVC24" s="246"/>
      <c r="WVD24" s="246"/>
      <c r="WVE24" s="246"/>
      <c r="WVF24" s="246"/>
      <c r="WVG24" s="246"/>
      <c r="WVH24" s="246"/>
      <c r="WVI24" s="246"/>
      <c r="WVJ24" s="246"/>
      <c r="WVK24" s="246"/>
      <c r="WVL24" s="246"/>
      <c r="WVM24" s="246"/>
      <c r="WVN24" s="246"/>
      <c r="WVO24" s="246"/>
      <c r="WVP24" s="246"/>
      <c r="WVQ24" s="246"/>
      <c r="WVR24" s="246"/>
      <c r="WVS24" s="246"/>
      <c r="WVT24" s="246"/>
      <c r="WVU24" s="246"/>
      <c r="WVV24" s="246"/>
      <c r="WVW24" s="246"/>
      <c r="WVX24" s="246"/>
      <c r="WVY24" s="246"/>
      <c r="WVZ24" s="246"/>
      <c r="WWA24" s="246"/>
      <c r="WWB24" s="246"/>
      <c r="WWC24" s="246"/>
      <c r="WWD24" s="246"/>
      <c r="WWE24" s="246"/>
      <c r="WWF24" s="246"/>
      <c r="WWG24" s="246"/>
      <c r="WWH24" s="246"/>
      <c r="WWI24" s="246"/>
      <c r="WWJ24" s="246"/>
      <c r="WWK24" s="246"/>
      <c r="WWL24" s="246"/>
      <c r="WWM24" s="246"/>
      <c r="WWN24" s="246"/>
      <c r="WWO24" s="246"/>
      <c r="WWP24" s="246"/>
      <c r="WWQ24" s="246"/>
      <c r="WWR24" s="246"/>
      <c r="WWS24" s="246"/>
      <c r="WWT24" s="246"/>
      <c r="WWU24" s="246"/>
      <c r="WWV24" s="246"/>
      <c r="WWW24" s="246"/>
      <c r="WWX24" s="246"/>
      <c r="WWY24" s="246"/>
      <c r="WWZ24" s="246"/>
      <c r="WXA24" s="246"/>
      <c r="WXB24" s="246"/>
      <c r="WXC24" s="246"/>
      <c r="WXD24" s="246"/>
      <c r="WXE24" s="246"/>
      <c r="WXF24" s="246"/>
      <c r="WXG24" s="246"/>
      <c r="WXH24" s="246"/>
      <c r="WXI24" s="246"/>
      <c r="WXJ24" s="246"/>
      <c r="WXK24" s="246"/>
      <c r="WXL24" s="246"/>
      <c r="WXM24" s="246"/>
      <c r="WXN24" s="246"/>
      <c r="WXO24" s="246"/>
      <c r="WXP24" s="246"/>
      <c r="WXQ24" s="246"/>
      <c r="WXR24" s="246"/>
      <c r="WXS24" s="246"/>
      <c r="WXT24" s="246"/>
      <c r="WXU24" s="246"/>
      <c r="WXV24" s="246"/>
      <c r="WXW24" s="246"/>
      <c r="WXX24" s="246"/>
      <c r="WXY24" s="246"/>
      <c r="WXZ24" s="246"/>
      <c r="WYA24" s="246"/>
      <c r="WYB24" s="246"/>
      <c r="WYC24" s="246"/>
      <c r="WYD24" s="246"/>
      <c r="WYE24" s="246"/>
      <c r="WYF24" s="246"/>
      <c r="WYG24" s="246"/>
      <c r="WYH24" s="246"/>
      <c r="WYI24" s="246"/>
      <c r="WYJ24" s="246"/>
      <c r="WYK24" s="246"/>
      <c r="WYL24" s="246"/>
      <c r="WYM24" s="246"/>
      <c r="WYN24" s="246"/>
      <c r="WYO24" s="246"/>
      <c r="WYP24" s="246"/>
      <c r="WYQ24" s="246"/>
      <c r="WYR24" s="246"/>
      <c r="WYS24" s="246"/>
      <c r="WYT24" s="246"/>
      <c r="WYU24" s="246"/>
      <c r="WYV24" s="246"/>
      <c r="WYW24" s="246"/>
      <c r="WYX24" s="246"/>
      <c r="WYY24" s="246"/>
      <c r="WYZ24" s="246"/>
      <c r="WZA24" s="246"/>
      <c r="WZB24" s="246"/>
      <c r="WZC24" s="246"/>
      <c r="WZD24" s="246"/>
      <c r="WZE24" s="246"/>
      <c r="WZF24" s="246"/>
      <c r="WZG24" s="246"/>
      <c r="WZH24" s="246"/>
      <c r="WZI24" s="246"/>
      <c r="WZJ24" s="246"/>
      <c r="WZK24" s="246"/>
      <c r="WZL24" s="246"/>
      <c r="WZM24" s="246"/>
      <c r="WZN24" s="246"/>
      <c r="WZO24" s="246"/>
      <c r="WZP24" s="246"/>
      <c r="WZQ24" s="246"/>
      <c r="WZR24" s="246"/>
      <c r="WZS24" s="246"/>
      <c r="WZT24" s="246"/>
      <c r="WZU24" s="246"/>
      <c r="WZV24" s="246"/>
      <c r="WZW24" s="246"/>
      <c r="WZX24" s="246"/>
      <c r="WZY24" s="246"/>
      <c r="WZZ24" s="246"/>
      <c r="XAA24" s="246"/>
      <c r="XAB24" s="246"/>
      <c r="XAC24" s="246"/>
      <c r="XAD24" s="246"/>
      <c r="XAE24" s="246"/>
      <c r="XAF24" s="246"/>
      <c r="XAG24" s="246"/>
      <c r="XAH24" s="246"/>
      <c r="XAI24" s="246"/>
      <c r="XAJ24" s="246"/>
      <c r="XAK24" s="246"/>
      <c r="XAL24" s="246"/>
      <c r="XAM24" s="246"/>
      <c r="XAN24" s="246"/>
      <c r="XAO24" s="246"/>
      <c r="XAP24" s="246"/>
      <c r="XAQ24" s="246"/>
      <c r="XAR24" s="246"/>
      <c r="XAS24" s="246"/>
      <c r="XAT24" s="246"/>
      <c r="XAU24" s="246"/>
      <c r="XAV24" s="246"/>
      <c r="XAW24" s="246"/>
      <c r="XAX24" s="246"/>
      <c r="XAY24" s="246"/>
      <c r="XAZ24" s="246"/>
      <c r="XBA24" s="246"/>
      <c r="XBB24" s="246"/>
      <c r="XBC24" s="246"/>
      <c r="XBD24" s="246"/>
      <c r="XBE24" s="246"/>
      <c r="XBF24" s="246"/>
      <c r="XBG24" s="246"/>
      <c r="XBH24" s="246"/>
      <c r="XBI24" s="246"/>
      <c r="XBJ24" s="246"/>
      <c r="XBK24" s="246"/>
      <c r="XBL24" s="246"/>
      <c r="XBM24" s="246"/>
      <c r="XBN24" s="246"/>
      <c r="XBO24" s="246"/>
      <c r="XBP24" s="246"/>
      <c r="XBQ24" s="246"/>
      <c r="XBR24" s="246"/>
      <c r="XBS24" s="246"/>
      <c r="XBT24" s="246"/>
      <c r="XBU24" s="246"/>
      <c r="XBV24" s="246"/>
      <c r="XBW24" s="246"/>
      <c r="XBX24" s="246"/>
      <c r="XBY24" s="246"/>
      <c r="XBZ24" s="246"/>
      <c r="XCA24" s="246"/>
      <c r="XCB24" s="246"/>
      <c r="XCC24" s="246"/>
      <c r="XCD24" s="246"/>
      <c r="XCE24" s="246"/>
      <c r="XCF24" s="246"/>
      <c r="XCG24" s="246"/>
      <c r="XCH24" s="246"/>
      <c r="XCI24" s="246"/>
      <c r="XCJ24" s="246"/>
      <c r="XCK24" s="246"/>
      <c r="XCL24" s="246"/>
      <c r="XCM24" s="246"/>
      <c r="XCN24" s="246"/>
      <c r="XCO24" s="246"/>
      <c r="XCP24" s="246"/>
      <c r="XCQ24" s="246"/>
      <c r="XCR24" s="246"/>
      <c r="XCS24" s="246"/>
      <c r="XCT24" s="246"/>
      <c r="XCU24" s="246"/>
      <c r="XCV24" s="246"/>
      <c r="XCW24" s="246"/>
      <c r="XCX24" s="246"/>
      <c r="XCY24" s="246"/>
      <c r="XCZ24" s="246"/>
      <c r="XDA24" s="246"/>
      <c r="XDB24" s="246"/>
      <c r="XDC24" s="246"/>
      <c r="XDD24" s="246"/>
      <c r="XDE24" s="246"/>
      <c r="XDF24" s="246"/>
      <c r="XDG24" s="246"/>
      <c r="XDH24" s="246"/>
      <c r="XDI24" s="246"/>
      <c r="XDJ24" s="246"/>
      <c r="XDK24" s="246"/>
      <c r="XDL24" s="246"/>
      <c r="XDM24" s="246"/>
      <c r="XDN24" s="246"/>
      <c r="XDO24" s="246"/>
      <c r="XDP24" s="246"/>
      <c r="XDQ24" s="246"/>
      <c r="XDR24" s="246"/>
      <c r="XDS24" s="246"/>
      <c r="XDT24" s="246"/>
      <c r="XDU24" s="246"/>
      <c r="XDV24" s="246"/>
      <c r="XDW24" s="246"/>
      <c r="XDX24" s="246"/>
      <c r="XDY24" s="246"/>
      <c r="XDZ24" s="246"/>
      <c r="XEA24" s="246"/>
      <c r="XEB24" s="246"/>
      <c r="XEC24" s="246"/>
      <c r="XED24" s="246"/>
      <c r="XEE24" s="246"/>
      <c r="XEF24" s="246"/>
      <c r="XEG24" s="246"/>
      <c r="XEH24" s="246"/>
      <c r="XEI24" s="246"/>
      <c r="XEJ24" s="246"/>
      <c r="XEK24" s="246"/>
      <c r="XEL24" s="246"/>
      <c r="XEM24" s="246"/>
      <c r="XEN24" s="246"/>
      <c r="XEO24" s="246"/>
      <c r="XEP24" s="246"/>
      <c r="XEQ24" s="246"/>
      <c r="XER24" s="246"/>
      <c r="XES24" s="246"/>
      <c r="XET24" s="246"/>
      <c r="XEU24" s="246"/>
      <c r="XEV24" s="246"/>
      <c r="XEW24" s="246"/>
      <c r="XEX24" s="246"/>
      <c r="XEY24" s="246"/>
      <c r="XEZ24" s="246"/>
      <c r="XFA24" s="246"/>
      <c r="XFB24" s="246"/>
      <c r="XFC24" s="246"/>
    </row>
    <row r="25" spans="1:16383" ht="34.5" customHeight="1">
      <c r="A25" s="262" t="s">
        <v>40</v>
      </c>
      <c r="B25" s="263">
        <v>1200</v>
      </c>
      <c r="C25" s="206" t="str">
        <f>'Log frame'!C17</f>
        <v>Improved commune WASH planning and coordination by local authorities.​</v>
      </c>
      <c r="D25" s="373" t="s">
        <v>51</v>
      </c>
      <c r="E25" s="238" t="s">
        <v>226</v>
      </c>
      <c r="F25" s="238" t="s">
        <v>53</v>
      </c>
      <c r="G25" s="263" t="s">
        <v>54</v>
      </c>
      <c r="H25" s="264" t="s">
        <v>227</v>
      </c>
      <c r="I25" s="265" t="str">
        <f t="shared" si="0"/>
        <v>Mattson</v>
      </c>
      <c r="J25" s="266" t="s">
        <v>228</v>
      </c>
      <c r="K25" s="267" t="s">
        <v>399</v>
      </c>
      <c r="L25" s="262" t="s">
        <v>385</v>
      </c>
      <c r="M25" s="262"/>
      <c r="N25" s="263" t="s">
        <v>236</v>
      </c>
      <c r="O25" s="267" t="s">
        <v>231</v>
      </c>
      <c r="P25" s="66" t="s">
        <v>232</v>
      </c>
      <c r="Q25" s="183" t="s">
        <v>233</v>
      </c>
      <c r="R25" s="268" t="s">
        <v>223</v>
      </c>
      <c r="S25" s="269" t="s">
        <v>371</v>
      </c>
      <c r="T25" s="270" t="s">
        <v>268</v>
      </c>
      <c r="U25" s="267" t="s">
        <v>231</v>
      </c>
      <c r="V25" s="68" t="s">
        <v>234</v>
      </c>
    </row>
    <row r="26" spans="1:16383" ht="34.5" customHeight="1">
      <c r="A26" s="14" t="s">
        <v>16</v>
      </c>
      <c r="B26" s="10">
        <v>1210</v>
      </c>
      <c r="C26" s="15" t="str">
        <f>'Log frame'!C19</f>
        <v>Create or improve commune action plans that focus on water, sanitation and hygiene, and water resource management.​</v>
      </c>
      <c r="D26" s="373" t="s">
        <v>55</v>
      </c>
      <c r="E26" s="24" t="s">
        <v>235</v>
      </c>
      <c r="F26" s="9" t="s">
        <v>57</v>
      </c>
      <c r="G26" s="14" t="s">
        <v>58</v>
      </c>
      <c r="H26" s="131" t="s">
        <v>227</v>
      </c>
      <c r="I26" s="124" t="str">
        <f t="shared" si="0"/>
        <v>Mattson</v>
      </c>
      <c r="J26" s="136" t="s">
        <v>228</v>
      </c>
      <c r="K26" s="192" t="s">
        <v>399</v>
      </c>
      <c r="L26" s="14" t="s">
        <v>385</v>
      </c>
      <c r="M26" s="14"/>
      <c r="N26" s="9" t="s">
        <v>236</v>
      </c>
      <c r="O26" s="191" t="s">
        <v>231</v>
      </c>
      <c r="P26" s="17"/>
      <c r="Q26" s="182"/>
      <c r="R26" s="231" t="s">
        <v>223</v>
      </c>
      <c r="S26" s="198" t="s">
        <v>371</v>
      </c>
      <c r="T26" s="13" t="s">
        <v>268</v>
      </c>
      <c r="U26" s="191" t="s">
        <v>231</v>
      </c>
      <c r="V26" s="13" t="s">
        <v>237</v>
      </c>
    </row>
    <row r="27" spans="1:16383" ht="34.5" customHeight="1">
      <c r="A27" s="14" t="s">
        <v>16</v>
      </c>
      <c r="B27" s="10">
        <v>1220</v>
      </c>
      <c r="C27" s="9" t="str">
        <f>'Log frame'!C21</f>
        <v>Facilitate coordination meetings between commune WASH stakeholders.</v>
      </c>
      <c r="D27" s="373" t="s">
        <v>59</v>
      </c>
      <c r="E27" s="9" t="s">
        <v>238</v>
      </c>
      <c r="F27" s="9" t="s">
        <v>61</v>
      </c>
      <c r="G27" s="14" t="s">
        <v>62</v>
      </c>
      <c r="H27" s="111" t="s">
        <v>209</v>
      </c>
      <c r="I27" s="23" t="str">
        <f t="shared" si="0"/>
        <v>Mattson</v>
      </c>
      <c r="J27" s="136" t="s">
        <v>210</v>
      </c>
      <c r="K27" s="22" t="s">
        <v>211</v>
      </c>
      <c r="L27" s="14" t="s">
        <v>385</v>
      </c>
      <c r="M27" s="14"/>
      <c r="N27" s="14" t="s">
        <v>400</v>
      </c>
      <c r="O27" s="22" t="s">
        <v>215</v>
      </c>
      <c r="P27" s="21"/>
      <c r="Q27" s="184"/>
      <c r="R27" s="231" t="s">
        <v>223</v>
      </c>
      <c r="S27" s="198" t="s">
        <v>371</v>
      </c>
      <c r="T27" s="13" t="s">
        <v>268</v>
      </c>
      <c r="U27" s="22" t="s">
        <v>215</v>
      </c>
      <c r="V27" s="13" t="s">
        <v>240</v>
      </c>
    </row>
    <row r="28" spans="1:16383" s="100" customFormat="1" ht="34.5" customHeight="1">
      <c r="A28" s="51" t="s">
        <v>40</v>
      </c>
      <c r="B28" s="51">
        <v>1300</v>
      </c>
      <c r="C28" s="51" t="str">
        <f>'Log frame'!D17</f>
        <v>Improved accountability of service providers to users of WASH services.​</v>
      </c>
      <c r="D28" s="373" t="s">
        <v>63</v>
      </c>
      <c r="E28" s="235" t="s">
        <v>401</v>
      </c>
      <c r="F28" s="9" t="s">
        <v>65</v>
      </c>
      <c r="G28" s="51" t="s">
        <v>66</v>
      </c>
      <c r="H28" s="51" t="s">
        <v>227</v>
      </c>
      <c r="I28" s="51" t="s">
        <v>222</v>
      </c>
      <c r="J28" s="51" t="s">
        <v>242</v>
      </c>
      <c r="K28" s="179" t="s">
        <v>243</v>
      </c>
      <c r="L28" s="51" t="s">
        <v>385</v>
      </c>
      <c r="M28" s="51"/>
      <c r="N28" s="175" t="s">
        <v>402</v>
      </c>
      <c r="O28" s="179" t="s">
        <v>215</v>
      </c>
      <c r="P28" s="51"/>
      <c r="Q28" s="133"/>
      <c r="R28" s="180" t="s">
        <v>245</v>
      </c>
      <c r="S28" s="140" t="s">
        <v>259</v>
      </c>
      <c r="T28" s="51" t="s">
        <v>403</v>
      </c>
      <c r="U28" s="51" t="s">
        <v>247</v>
      </c>
      <c r="V28" s="51" t="s">
        <v>248</v>
      </c>
    </row>
    <row r="29" spans="1:16383" ht="34.5" customHeight="1">
      <c r="A29" s="51" t="s">
        <v>40</v>
      </c>
      <c r="B29" s="51">
        <v>1300</v>
      </c>
      <c r="C29" s="51" t="str">
        <f>'Log frame'!D17</f>
        <v>Improved accountability of service providers to users of WASH services.​</v>
      </c>
      <c r="D29" s="374" t="s">
        <v>67</v>
      </c>
      <c r="E29" s="51" t="s">
        <v>404</v>
      </c>
      <c r="F29" s="11" t="s">
        <v>405</v>
      </c>
      <c r="G29" s="51" t="s">
        <v>69</v>
      </c>
      <c r="H29" s="51" t="s">
        <v>227</v>
      </c>
      <c r="I29" s="51" t="str">
        <f t="shared" si="0"/>
        <v>Mattson</v>
      </c>
      <c r="J29" s="51" t="s">
        <v>250</v>
      </c>
      <c r="K29" s="179" t="s">
        <v>253</v>
      </c>
      <c r="L29" s="51" t="s">
        <v>385</v>
      </c>
      <c r="M29" s="51"/>
      <c r="N29" s="51" t="s">
        <v>406</v>
      </c>
      <c r="O29" s="179" t="s">
        <v>215</v>
      </c>
      <c r="P29" s="51" t="s">
        <v>253</v>
      </c>
      <c r="Q29" s="133"/>
      <c r="R29" s="180" t="s">
        <v>245</v>
      </c>
      <c r="S29" s="140" t="s">
        <v>259</v>
      </c>
      <c r="T29" s="51" t="s">
        <v>403</v>
      </c>
      <c r="U29" s="251" t="s">
        <v>247</v>
      </c>
      <c r="V29" s="251" t="s">
        <v>248</v>
      </c>
    </row>
    <row r="30" spans="1:16383" s="246" customFormat="1" ht="34.5" customHeight="1">
      <c r="A30" s="235" t="s">
        <v>40</v>
      </c>
      <c r="B30" s="235">
        <v>1300</v>
      </c>
      <c r="C30" s="235" t="s">
        <v>64</v>
      </c>
      <c r="D30" s="373" t="s">
        <v>70</v>
      </c>
      <c r="E30" s="235" t="s">
        <v>254</v>
      </c>
      <c r="F30" s="235" t="s">
        <v>71</v>
      </c>
      <c r="G30" s="235" t="s">
        <v>72</v>
      </c>
      <c r="H30" s="235" t="s">
        <v>221</v>
      </c>
      <c r="I30" s="235" t="s">
        <v>222</v>
      </c>
      <c r="J30" s="235" t="s">
        <v>255</v>
      </c>
      <c r="K30" s="249" t="s">
        <v>407</v>
      </c>
      <c r="L30" s="235" t="s">
        <v>385</v>
      </c>
      <c r="M30" s="235"/>
      <c r="N30" s="235" t="s">
        <v>406</v>
      </c>
      <c r="O30" s="249" t="s">
        <v>215</v>
      </c>
      <c r="P30" s="180" t="s">
        <v>245</v>
      </c>
      <c r="Q30" s="140" t="s">
        <v>259</v>
      </c>
      <c r="R30" s="235" t="s">
        <v>223</v>
      </c>
      <c r="S30" s="235" t="s">
        <v>408</v>
      </c>
      <c r="T30" s="250" t="s">
        <v>236</v>
      </c>
      <c r="U30" s="259" t="s">
        <v>215</v>
      </c>
      <c r="V30" s="253"/>
    </row>
    <row r="31" spans="1:16383" ht="34.5" customHeight="1">
      <c r="A31" s="14" t="s">
        <v>16</v>
      </c>
      <c r="B31" s="10">
        <v>1310</v>
      </c>
      <c r="C31" s="9" t="str">
        <f>'Log frame'!D19</f>
        <v>Monitor WASH service performance and satisfaction.</v>
      </c>
      <c r="D31" s="374" t="s">
        <v>73</v>
      </c>
      <c r="E31" s="174" t="s">
        <v>409</v>
      </c>
      <c r="F31" s="11" t="s">
        <v>410</v>
      </c>
      <c r="G31" s="14" t="s">
        <v>411</v>
      </c>
      <c r="H31" s="111" t="s">
        <v>209</v>
      </c>
      <c r="I31" s="23" t="str">
        <f t="shared" si="0"/>
        <v>Mattson</v>
      </c>
      <c r="J31" s="136" t="s">
        <v>228</v>
      </c>
      <c r="K31" s="22" t="s">
        <v>211</v>
      </c>
      <c r="L31" s="14" t="s">
        <v>385</v>
      </c>
      <c r="M31" s="14"/>
      <c r="N31" s="14" t="s">
        <v>386</v>
      </c>
      <c r="O31" s="22" t="s">
        <v>215</v>
      </c>
      <c r="P31" s="17"/>
      <c r="Q31" s="182"/>
      <c r="R31" s="231" t="s">
        <v>223</v>
      </c>
      <c r="S31" s="198" t="s">
        <v>371</v>
      </c>
      <c r="T31" s="13" t="s">
        <v>268</v>
      </c>
      <c r="U31" s="255" t="s">
        <v>215</v>
      </c>
      <c r="V31" s="67" t="s">
        <v>240</v>
      </c>
    </row>
    <row r="32" spans="1:16383" ht="34.5" customHeight="1">
      <c r="A32" s="14" t="s">
        <v>16</v>
      </c>
      <c r="B32" s="10">
        <v>1310</v>
      </c>
      <c r="C32" s="19" t="s">
        <v>74</v>
      </c>
      <c r="D32" s="374" t="s">
        <v>77</v>
      </c>
      <c r="E32" s="9" t="s">
        <v>412</v>
      </c>
      <c r="F32" s="11" t="s">
        <v>413</v>
      </c>
      <c r="G32" s="14" t="s">
        <v>414</v>
      </c>
      <c r="H32" s="111" t="s">
        <v>209</v>
      </c>
      <c r="I32" s="23" t="s">
        <v>222</v>
      </c>
      <c r="J32" s="136" t="s">
        <v>262</v>
      </c>
      <c r="K32" s="22" t="s">
        <v>274</v>
      </c>
      <c r="L32" s="14" t="s">
        <v>264</v>
      </c>
      <c r="M32" s="14"/>
      <c r="N32" s="14" t="s">
        <v>214</v>
      </c>
      <c r="O32" s="22" t="s">
        <v>215</v>
      </c>
      <c r="P32" s="231" t="s">
        <v>223</v>
      </c>
      <c r="Q32" s="198" t="s">
        <v>371</v>
      </c>
      <c r="R32" s="13" t="s">
        <v>268</v>
      </c>
      <c r="S32" s="22" t="s">
        <v>215</v>
      </c>
      <c r="T32" s="254" t="s">
        <v>240</v>
      </c>
      <c r="U32" s="257"/>
      <c r="V32" s="257"/>
    </row>
    <row r="33" spans="1:22" s="246" customFormat="1" ht="34.5" customHeight="1">
      <c r="A33" s="235" t="s">
        <v>16</v>
      </c>
      <c r="B33" s="236">
        <v>1310</v>
      </c>
      <c r="C33" s="237" t="str">
        <f>'Log frame'!D19</f>
        <v>Monitor WASH service performance and satisfaction.</v>
      </c>
      <c r="D33" s="374" t="s">
        <v>79</v>
      </c>
      <c r="E33" s="238" t="s">
        <v>415</v>
      </c>
      <c r="F33" s="239" t="s">
        <v>416</v>
      </c>
      <c r="G33" s="240" t="s">
        <v>76</v>
      </c>
      <c r="H33" s="241" t="s">
        <v>221</v>
      </c>
      <c r="I33" s="242" t="str">
        <f t="shared" si="0"/>
        <v>Mattson</v>
      </c>
      <c r="J33" s="243" t="s">
        <v>262</v>
      </c>
      <c r="K33" s="244" t="s">
        <v>417</v>
      </c>
      <c r="L33" s="235" t="s">
        <v>264</v>
      </c>
      <c r="M33" s="235"/>
      <c r="N33" s="235" t="s">
        <v>214</v>
      </c>
      <c r="O33" s="244" t="s">
        <v>215</v>
      </c>
      <c r="P33" s="17"/>
      <c r="Q33" s="182"/>
      <c r="R33" s="247" t="s">
        <v>223</v>
      </c>
      <c r="S33" s="248" t="s">
        <v>371</v>
      </c>
      <c r="T33" s="245" t="s">
        <v>268</v>
      </c>
      <c r="U33" s="256" t="s">
        <v>215</v>
      </c>
      <c r="V33" s="258" t="s">
        <v>240</v>
      </c>
    </row>
    <row r="34" spans="1:22" ht="54.75" customHeight="1">
      <c r="A34" s="14" t="s">
        <v>16</v>
      </c>
      <c r="B34" s="10">
        <v>1320</v>
      </c>
      <c r="C34" s="19" t="str">
        <f>'Log frame'!D21</f>
        <v>Review service provider performance with stakeholders.</v>
      </c>
      <c r="D34" s="373" t="s">
        <v>85</v>
      </c>
      <c r="E34" s="9" t="s">
        <v>273</v>
      </c>
      <c r="F34" s="11" t="s">
        <v>418</v>
      </c>
      <c r="G34" s="18" t="s">
        <v>58</v>
      </c>
      <c r="H34" s="129" t="s">
        <v>227</v>
      </c>
      <c r="I34" s="122" t="str">
        <f t="shared" si="0"/>
        <v>Mattson</v>
      </c>
      <c r="J34" s="136" t="s">
        <v>262</v>
      </c>
      <c r="K34" s="21" t="s">
        <v>274</v>
      </c>
      <c r="L34" s="18" t="s">
        <v>264</v>
      </c>
      <c r="M34" s="18"/>
      <c r="N34" s="14" t="s">
        <v>214</v>
      </c>
      <c r="O34" s="22" t="s">
        <v>215</v>
      </c>
      <c r="P34" s="17"/>
      <c r="Q34" s="17"/>
      <c r="R34" s="186" t="s">
        <v>36</v>
      </c>
      <c r="S34" s="17" t="s">
        <v>371</v>
      </c>
      <c r="T34" s="17" t="s">
        <v>268</v>
      </c>
      <c r="U34" s="22" t="s">
        <v>215</v>
      </c>
      <c r="V34" s="13" t="s">
        <v>240</v>
      </c>
    </row>
    <row r="35" spans="1:22" ht="34.5" customHeight="1">
      <c r="A35" s="48" t="s">
        <v>37</v>
      </c>
      <c r="B35" s="49">
        <v>2000</v>
      </c>
      <c r="C35" s="62" t="str">
        <f>'Log frame'!E15</f>
        <v>Enhanced household access to and use of sustainable, affordable, and safe water, sanitation and hygiene services.​</v>
      </c>
      <c r="D35" s="206" t="s">
        <v>36</v>
      </c>
      <c r="E35" s="50" t="s">
        <v>36</v>
      </c>
      <c r="F35" s="50" t="s">
        <v>36</v>
      </c>
      <c r="G35" s="50" t="s">
        <v>36</v>
      </c>
      <c r="H35" s="127" t="s">
        <v>36</v>
      </c>
      <c r="I35" s="120" t="str">
        <f t="shared" si="0"/>
        <v>Mattson</v>
      </c>
      <c r="J35" s="135" t="s">
        <v>36</v>
      </c>
      <c r="K35" s="50" t="s">
        <v>36</v>
      </c>
      <c r="L35" s="50" t="s">
        <v>36</v>
      </c>
      <c r="M35" s="50"/>
      <c r="N35" s="50" t="s">
        <v>36</v>
      </c>
      <c r="O35" s="50" t="s">
        <v>36</v>
      </c>
      <c r="P35" s="50" t="s">
        <v>36</v>
      </c>
      <c r="Q35" s="127" t="s">
        <v>36</v>
      </c>
      <c r="R35" s="120" t="s">
        <v>36</v>
      </c>
      <c r="S35" s="135" t="s">
        <v>36</v>
      </c>
      <c r="T35" s="50" t="s">
        <v>36</v>
      </c>
      <c r="U35" s="50" t="s">
        <v>36</v>
      </c>
      <c r="V35" s="50" t="s">
        <v>207</v>
      </c>
    </row>
    <row r="36" spans="1:22" ht="34.5" customHeight="1">
      <c r="A36" s="51" t="s">
        <v>40</v>
      </c>
      <c r="B36" s="53">
        <v>2100</v>
      </c>
      <c r="C36" s="56" t="str">
        <f>'Log frame'!E17</f>
        <v>Increased household access to sustainable, affordable, and safe drinking water services.​</v>
      </c>
      <c r="D36" s="375" t="s">
        <v>419</v>
      </c>
      <c r="E36" s="53" t="s">
        <v>420</v>
      </c>
      <c r="F36" s="206" t="s">
        <v>421</v>
      </c>
      <c r="G36" s="53" t="s">
        <v>69</v>
      </c>
      <c r="H36" s="132" t="s">
        <v>209</v>
      </c>
      <c r="I36" s="57" t="str">
        <f t="shared" si="0"/>
        <v>Mattson</v>
      </c>
      <c r="J36" s="113" t="s">
        <v>228</v>
      </c>
      <c r="K36" s="55" t="s">
        <v>253</v>
      </c>
      <c r="L36" s="51" t="s">
        <v>385</v>
      </c>
      <c r="M36" s="51"/>
      <c r="N36" s="51" t="s">
        <v>406</v>
      </c>
      <c r="O36" s="55" t="s">
        <v>215</v>
      </c>
      <c r="P36" s="64"/>
      <c r="Q36" s="183"/>
      <c r="R36" s="187" t="s">
        <v>280</v>
      </c>
      <c r="S36" s="199" t="s">
        <v>259</v>
      </c>
      <c r="T36" s="65" t="s">
        <v>403</v>
      </c>
      <c r="U36" s="65" t="s">
        <v>247</v>
      </c>
      <c r="V36" s="65" t="s">
        <v>281</v>
      </c>
    </row>
    <row r="37" spans="1:22" ht="34.5" customHeight="1">
      <c r="A37" s="51" t="s">
        <v>40</v>
      </c>
      <c r="B37" s="53">
        <v>2100</v>
      </c>
      <c r="C37" s="56" t="str">
        <f>'Log frame'!E17</f>
        <v>Increased household access to sustainable, affordable, and safe drinking water services.​</v>
      </c>
      <c r="D37" s="373" t="s">
        <v>89</v>
      </c>
      <c r="E37" s="53" t="s">
        <v>276</v>
      </c>
      <c r="F37" s="54" t="s">
        <v>91</v>
      </c>
      <c r="G37" s="58" t="s">
        <v>92</v>
      </c>
      <c r="H37" s="132" t="s">
        <v>209</v>
      </c>
      <c r="I37" s="57" t="str">
        <f t="shared" si="0"/>
        <v>Mattson</v>
      </c>
      <c r="J37" s="113" t="s">
        <v>277</v>
      </c>
      <c r="K37" s="193" t="s">
        <v>278</v>
      </c>
      <c r="L37" s="51" t="s">
        <v>385</v>
      </c>
      <c r="M37" s="51"/>
      <c r="N37" s="51" t="s">
        <v>406</v>
      </c>
      <c r="O37" s="55" t="s">
        <v>215</v>
      </c>
      <c r="P37" s="64"/>
      <c r="Q37" s="183"/>
      <c r="R37" s="187" t="s">
        <v>280</v>
      </c>
      <c r="S37" s="199" t="s">
        <v>259</v>
      </c>
      <c r="T37" s="65" t="s">
        <v>403</v>
      </c>
      <c r="U37" s="65" t="s">
        <v>247</v>
      </c>
      <c r="V37" s="65" t="s">
        <v>281</v>
      </c>
    </row>
    <row r="38" spans="1:22" ht="34.5" customHeight="1">
      <c r="A38" s="51" t="s">
        <v>40</v>
      </c>
      <c r="B38" s="53">
        <v>2100</v>
      </c>
      <c r="C38" s="56" t="str">
        <f>'Log frame'!E17</f>
        <v>Increased household access to sustainable, affordable, and safe drinking water services.​</v>
      </c>
      <c r="D38" s="373" t="s">
        <v>93</v>
      </c>
      <c r="E38" s="53" t="s">
        <v>282</v>
      </c>
      <c r="F38" s="232" t="s">
        <v>94</v>
      </c>
      <c r="G38" s="58" t="s">
        <v>92</v>
      </c>
      <c r="H38" s="132" t="s">
        <v>209</v>
      </c>
      <c r="I38" s="57" t="str">
        <f t="shared" si="0"/>
        <v>Mattson</v>
      </c>
      <c r="J38" s="113" t="s">
        <v>283</v>
      </c>
      <c r="K38" s="193" t="s">
        <v>278</v>
      </c>
      <c r="L38" s="51" t="s">
        <v>385</v>
      </c>
      <c r="M38" s="51"/>
      <c r="N38" s="51" t="s">
        <v>406</v>
      </c>
      <c r="O38" s="55" t="s">
        <v>215</v>
      </c>
      <c r="P38" s="64"/>
      <c r="Q38" s="183"/>
      <c r="R38" s="187" t="s">
        <v>280</v>
      </c>
      <c r="S38" s="199" t="s">
        <v>259</v>
      </c>
      <c r="T38" s="65" t="s">
        <v>403</v>
      </c>
      <c r="U38" s="65" t="s">
        <v>247</v>
      </c>
      <c r="V38" s="65" t="s">
        <v>281</v>
      </c>
    </row>
    <row r="39" spans="1:22" ht="34.5" customHeight="1">
      <c r="A39" s="51" t="s">
        <v>40</v>
      </c>
      <c r="B39" s="53">
        <v>2100</v>
      </c>
      <c r="C39" s="56" t="str">
        <f>'Log frame'!E17</f>
        <v>Increased household access to sustainable, affordable, and safe drinking water services.​</v>
      </c>
      <c r="D39" s="373" t="s">
        <v>95</v>
      </c>
      <c r="E39" s="233" t="s">
        <v>284</v>
      </c>
      <c r="F39" s="233" t="s">
        <v>96</v>
      </c>
      <c r="G39" s="53" t="s">
        <v>69</v>
      </c>
      <c r="H39" s="132" t="s">
        <v>227</v>
      </c>
      <c r="I39" s="57" t="str">
        <f t="shared" si="0"/>
        <v>Mattson</v>
      </c>
      <c r="J39" s="57" t="s">
        <v>228</v>
      </c>
      <c r="K39" s="55" t="s">
        <v>253</v>
      </c>
      <c r="L39" s="57" t="s">
        <v>385</v>
      </c>
      <c r="M39" s="322"/>
      <c r="N39" s="51" t="s">
        <v>406</v>
      </c>
      <c r="O39" s="55" t="s">
        <v>215</v>
      </c>
      <c r="P39" s="57"/>
      <c r="Q39" s="132"/>
      <c r="R39" s="180" t="s">
        <v>245</v>
      </c>
      <c r="S39" s="199" t="s">
        <v>259</v>
      </c>
      <c r="T39" s="65" t="s">
        <v>403</v>
      </c>
      <c r="U39" s="65" t="s">
        <v>247</v>
      </c>
      <c r="V39" s="51" t="s">
        <v>248</v>
      </c>
    </row>
    <row r="40" spans="1:22" ht="34.5" customHeight="1">
      <c r="A40" s="14" t="s">
        <v>16</v>
      </c>
      <c r="B40" s="9">
        <v>2110</v>
      </c>
      <c r="C40" s="15" t="str">
        <f>'Log frame'!E19</f>
        <v xml:space="preserve">Develop community managed water points. </v>
      </c>
      <c r="D40" s="373" t="s">
        <v>97</v>
      </c>
      <c r="E40" s="238" t="s">
        <v>422</v>
      </c>
      <c r="F40" s="11" t="s">
        <v>99</v>
      </c>
      <c r="G40" s="18" t="s">
        <v>100</v>
      </c>
      <c r="H40" s="111" t="s">
        <v>209</v>
      </c>
      <c r="I40" s="23" t="str">
        <f t="shared" si="0"/>
        <v>Mattson</v>
      </c>
      <c r="J40" s="137" t="s">
        <v>286</v>
      </c>
      <c r="K40" s="22" t="s">
        <v>253</v>
      </c>
      <c r="L40" s="14" t="s">
        <v>385</v>
      </c>
      <c r="M40" s="14"/>
      <c r="N40" s="14" t="s">
        <v>423</v>
      </c>
      <c r="O40" s="22" t="s">
        <v>215</v>
      </c>
      <c r="P40" s="17"/>
      <c r="Q40" s="182"/>
      <c r="R40" s="188" t="s">
        <v>280</v>
      </c>
      <c r="S40" s="198" t="s">
        <v>259</v>
      </c>
      <c r="T40" s="13" t="s">
        <v>403</v>
      </c>
      <c r="U40" s="13" t="s">
        <v>247</v>
      </c>
      <c r="V40" s="13" t="s">
        <v>281</v>
      </c>
    </row>
    <row r="41" spans="1:22" ht="34.5" customHeight="1">
      <c r="A41" s="14" t="s">
        <v>16</v>
      </c>
      <c r="B41" s="10">
        <v>2110</v>
      </c>
      <c r="C41" s="15" t="str">
        <f>'Log frame'!E19</f>
        <v xml:space="preserve">Develop community managed water points. </v>
      </c>
      <c r="D41" s="375" t="s">
        <v>424</v>
      </c>
      <c r="E41" s="9" t="s">
        <v>425</v>
      </c>
      <c r="F41" s="11" t="s">
        <v>426</v>
      </c>
      <c r="G41" s="18" t="s">
        <v>427</v>
      </c>
      <c r="H41" s="111" t="s">
        <v>209</v>
      </c>
      <c r="I41" s="23" t="str">
        <f t="shared" si="0"/>
        <v>Mattson</v>
      </c>
      <c r="J41" s="136" t="s">
        <v>228</v>
      </c>
      <c r="K41" s="22" t="s">
        <v>211</v>
      </c>
      <c r="L41" s="14" t="s">
        <v>385</v>
      </c>
      <c r="M41" s="14"/>
      <c r="N41" s="14" t="s">
        <v>423</v>
      </c>
      <c r="O41" s="22" t="s">
        <v>215</v>
      </c>
      <c r="P41" s="17"/>
      <c r="Q41" s="182"/>
      <c r="R41" s="188" t="s">
        <v>280</v>
      </c>
      <c r="S41" s="198" t="s">
        <v>259</v>
      </c>
      <c r="T41" s="13" t="s">
        <v>403</v>
      </c>
      <c r="U41" s="261" t="s">
        <v>247</v>
      </c>
      <c r="V41" s="13" t="s">
        <v>281</v>
      </c>
    </row>
    <row r="42" spans="1:22" s="246" customFormat="1" ht="34.5" customHeight="1">
      <c r="A42" s="235" t="s">
        <v>16</v>
      </c>
      <c r="B42" s="236">
        <v>2110</v>
      </c>
      <c r="C42" s="271" t="s">
        <v>98</v>
      </c>
      <c r="D42" s="375" t="s">
        <v>428</v>
      </c>
      <c r="E42" s="238" t="s">
        <v>429</v>
      </c>
      <c r="F42" s="239" t="s">
        <v>430</v>
      </c>
      <c r="G42" s="240" t="s">
        <v>427</v>
      </c>
      <c r="H42" s="241" t="s">
        <v>209</v>
      </c>
      <c r="I42" s="242" t="s">
        <v>222</v>
      </c>
      <c r="J42" s="243" t="s">
        <v>228</v>
      </c>
      <c r="K42" s="244" t="s">
        <v>211</v>
      </c>
      <c r="L42" s="235" t="s">
        <v>385</v>
      </c>
      <c r="M42" s="235"/>
      <c r="N42" s="235" t="s">
        <v>214</v>
      </c>
      <c r="O42" s="244" t="s">
        <v>215</v>
      </c>
      <c r="P42" s="188" t="s">
        <v>280</v>
      </c>
      <c r="Q42" s="198" t="s">
        <v>259</v>
      </c>
      <c r="R42" s="245" t="s">
        <v>403</v>
      </c>
      <c r="S42" s="245" t="s">
        <v>247</v>
      </c>
      <c r="T42" s="274" t="s">
        <v>281</v>
      </c>
      <c r="U42" s="253"/>
    </row>
    <row r="43" spans="1:22" ht="34.5" customHeight="1">
      <c r="A43" s="14" t="s">
        <v>16</v>
      </c>
      <c r="B43" s="9">
        <v>2120</v>
      </c>
      <c r="C43" s="15" t="str">
        <f>'Log frame'!E21</f>
        <v>Rehabilitate and expand professionally operated piped water systems.</v>
      </c>
      <c r="D43" s="374" t="s">
        <v>101</v>
      </c>
      <c r="E43" s="238" t="s">
        <v>431</v>
      </c>
      <c r="F43" s="11" t="s">
        <v>103</v>
      </c>
      <c r="G43" s="18" t="s">
        <v>100</v>
      </c>
      <c r="H43" s="111" t="s">
        <v>209</v>
      </c>
      <c r="I43" s="23" t="str">
        <f t="shared" si="0"/>
        <v>Mattson</v>
      </c>
      <c r="J43" s="137" t="s">
        <v>432</v>
      </c>
      <c r="K43" s="22" t="s">
        <v>274</v>
      </c>
      <c r="L43" s="14" t="s">
        <v>385</v>
      </c>
      <c r="M43" s="14"/>
      <c r="N43" s="14" t="s">
        <v>423</v>
      </c>
      <c r="O43" s="22" t="s">
        <v>215</v>
      </c>
      <c r="P43" s="17"/>
      <c r="Q43" s="182"/>
      <c r="R43" s="188" t="s">
        <v>280</v>
      </c>
      <c r="S43" s="198" t="s">
        <v>259</v>
      </c>
      <c r="T43" s="13" t="s">
        <v>403</v>
      </c>
      <c r="U43" s="67" t="s">
        <v>247</v>
      </c>
      <c r="V43" s="13" t="s">
        <v>281</v>
      </c>
    </row>
    <row r="44" spans="1:22" s="246" customFormat="1" ht="34.5" customHeight="1">
      <c r="A44" s="235" t="s">
        <v>16</v>
      </c>
      <c r="B44" s="236">
        <v>2120</v>
      </c>
      <c r="C44" s="271" t="s">
        <v>102</v>
      </c>
      <c r="D44" s="375" t="s">
        <v>433</v>
      </c>
      <c r="E44" s="238" t="s">
        <v>434</v>
      </c>
      <c r="F44" s="239" t="s">
        <v>435</v>
      </c>
      <c r="G44" s="240" t="s">
        <v>411</v>
      </c>
      <c r="H44" s="272" t="s">
        <v>296</v>
      </c>
      <c r="I44" s="273" t="s">
        <v>222</v>
      </c>
      <c r="J44" s="281" t="s">
        <v>436</v>
      </c>
      <c r="K44" s="244" t="s">
        <v>211</v>
      </c>
      <c r="L44" s="235" t="s">
        <v>385</v>
      </c>
      <c r="M44" s="235"/>
      <c r="N44" s="235" t="s">
        <v>423</v>
      </c>
      <c r="O44" s="244" t="s">
        <v>215</v>
      </c>
      <c r="P44" s="188" t="s">
        <v>280</v>
      </c>
      <c r="Q44" s="198" t="s">
        <v>259</v>
      </c>
      <c r="R44" s="245" t="s">
        <v>223</v>
      </c>
      <c r="S44" s="245" t="s">
        <v>247</v>
      </c>
      <c r="T44" s="13" t="s">
        <v>403</v>
      </c>
      <c r="U44" s="253"/>
    </row>
    <row r="45" spans="1:22" ht="34.5" customHeight="1">
      <c r="A45" s="14" t="s">
        <v>16</v>
      </c>
      <c r="B45" s="10">
        <v>2120</v>
      </c>
      <c r="C45" s="15" t="str">
        <f>'Log frame'!E21</f>
        <v>Rehabilitate and expand professionally operated piped water systems.</v>
      </c>
      <c r="D45" s="375" t="s">
        <v>437</v>
      </c>
      <c r="E45" s="238" t="s">
        <v>438</v>
      </c>
      <c r="F45" s="11" t="s">
        <v>439</v>
      </c>
      <c r="G45" s="18" t="s">
        <v>411</v>
      </c>
      <c r="H45" s="129" t="s">
        <v>296</v>
      </c>
      <c r="I45" s="122" t="str">
        <f t="shared" si="0"/>
        <v>Mattson</v>
      </c>
      <c r="J45" s="112" t="s">
        <v>228</v>
      </c>
      <c r="K45" s="22" t="s">
        <v>211</v>
      </c>
      <c r="L45" s="14" t="s">
        <v>385</v>
      </c>
      <c r="M45" s="14"/>
      <c r="N45" s="14" t="s">
        <v>423</v>
      </c>
      <c r="O45" s="22" t="s">
        <v>215</v>
      </c>
      <c r="P45" s="17"/>
      <c r="Q45" s="182"/>
      <c r="R45" s="188" t="s">
        <v>280</v>
      </c>
      <c r="S45" s="198" t="s">
        <v>259</v>
      </c>
      <c r="T45" s="13" t="s">
        <v>403</v>
      </c>
      <c r="U45" s="190" t="s">
        <v>247</v>
      </c>
      <c r="V45" s="13" t="s">
        <v>281</v>
      </c>
    </row>
    <row r="46" spans="1:22" ht="34.5" customHeight="1">
      <c r="A46" s="51" t="s">
        <v>40</v>
      </c>
      <c r="B46" s="53">
        <v>2200</v>
      </c>
      <c r="C46" s="56" t="str">
        <f>'Log frame'!F17</f>
        <v>Increased household access to sustainable, affordable, and safe sanitation services.​</v>
      </c>
      <c r="D46" s="373" t="s">
        <v>104</v>
      </c>
      <c r="E46" s="53" t="s">
        <v>440</v>
      </c>
      <c r="F46" s="117" t="s">
        <v>106</v>
      </c>
      <c r="G46" s="53" t="s">
        <v>441</v>
      </c>
      <c r="H46" s="132" t="s">
        <v>209</v>
      </c>
      <c r="I46" s="57" t="str">
        <f t="shared" si="0"/>
        <v>Mattson</v>
      </c>
      <c r="J46" s="113" t="s">
        <v>228</v>
      </c>
      <c r="K46" s="194" t="s">
        <v>442</v>
      </c>
      <c r="L46" s="51" t="s">
        <v>385</v>
      </c>
      <c r="M46" s="51"/>
      <c r="N46" s="51" t="s">
        <v>423</v>
      </c>
      <c r="O46" s="55" t="s">
        <v>215</v>
      </c>
      <c r="P46" s="64"/>
      <c r="Q46" s="183"/>
      <c r="R46" s="187" t="s">
        <v>280</v>
      </c>
      <c r="S46" s="199" t="s">
        <v>259</v>
      </c>
      <c r="T46" s="65" t="s">
        <v>403</v>
      </c>
      <c r="U46" s="65" t="s">
        <v>247</v>
      </c>
      <c r="V46" s="65" t="s">
        <v>281</v>
      </c>
    </row>
    <row r="47" spans="1:22" ht="34.5" customHeight="1">
      <c r="A47" s="51" t="s">
        <v>40</v>
      </c>
      <c r="B47" s="53">
        <v>2200</v>
      </c>
      <c r="C47" s="56" t="str">
        <f>'Log frame'!F17</f>
        <v>Increased household access to sustainable, affordable, and safe sanitation services.​</v>
      </c>
      <c r="D47" s="374" t="s">
        <v>108</v>
      </c>
      <c r="E47" s="53" t="s">
        <v>295</v>
      </c>
      <c r="F47" s="54" t="s">
        <v>111</v>
      </c>
      <c r="G47" s="58" t="s">
        <v>92</v>
      </c>
      <c r="H47" s="128" t="s">
        <v>296</v>
      </c>
      <c r="I47" s="121" t="str">
        <f t="shared" si="0"/>
        <v>Mattson</v>
      </c>
      <c r="J47" s="113" t="s">
        <v>297</v>
      </c>
      <c r="K47" s="193" t="s">
        <v>278</v>
      </c>
      <c r="L47" s="51" t="s">
        <v>385</v>
      </c>
      <c r="M47" s="51"/>
      <c r="N47" s="51" t="s">
        <v>298</v>
      </c>
      <c r="O47" s="55" t="s">
        <v>215</v>
      </c>
      <c r="P47" s="64"/>
      <c r="Q47" s="183"/>
      <c r="R47" s="187" t="s">
        <v>280</v>
      </c>
      <c r="S47" s="200" t="s">
        <v>259</v>
      </c>
      <c r="T47" s="65" t="s">
        <v>403</v>
      </c>
      <c r="U47" s="65" t="s">
        <v>247</v>
      </c>
      <c r="V47" s="65" t="s">
        <v>281</v>
      </c>
    </row>
    <row r="48" spans="1:22" ht="34.5" customHeight="1">
      <c r="A48" s="51" t="s">
        <v>40</v>
      </c>
      <c r="B48" s="53">
        <v>2200</v>
      </c>
      <c r="C48" s="56" t="str">
        <f>'Log frame'!F17</f>
        <v>Increased household access to sustainable, affordable, and safe sanitation services.​</v>
      </c>
      <c r="D48" s="374" t="s">
        <v>110</v>
      </c>
      <c r="E48" s="53" t="s">
        <v>443</v>
      </c>
      <c r="F48" s="54" t="s">
        <v>444</v>
      </c>
      <c r="G48" s="58" t="s">
        <v>92</v>
      </c>
      <c r="H48" s="128" t="s">
        <v>296</v>
      </c>
      <c r="I48" s="121" t="str">
        <f t="shared" si="0"/>
        <v>Mattson</v>
      </c>
      <c r="J48" s="113" t="s">
        <v>297</v>
      </c>
      <c r="K48" s="193" t="s">
        <v>278</v>
      </c>
      <c r="L48" s="51" t="s">
        <v>385</v>
      </c>
      <c r="M48" s="51"/>
      <c r="N48" s="51" t="s">
        <v>298</v>
      </c>
      <c r="O48" s="55" t="s">
        <v>215</v>
      </c>
      <c r="P48" s="64"/>
      <c r="Q48" s="183"/>
      <c r="R48" s="187" t="s">
        <v>280</v>
      </c>
      <c r="S48" s="200" t="s">
        <v>259</v>
      </c>
      <c r="T48" s="65" t="s">
        <v>403</v>
      </c>
      <c r="U48" s="65" t="s">
        <v>247</v>
      </c>
      <c r="V48" s="65" t="s">
        <v>281</v>
      </c>
    </row>
    <row r="49" spans="1:22" ht="34.5" customHeight="1">
      <c r="A49" s="14" t="s">
        <v>16</v>
      </c>
      <c r="B49" s="10">
        <v>2210</v>
      </c>
      <c r="C49" s="15" t="str">
        <f>'Log frame'!F19</f>
        <v>Mobilize communities to achieve Open Defecation Free status</v>
      </c>
      <c r="D49" s="373" t="s">
        <v>113</v>
      </c>
      <c r="E49" s="277" t="s">
        <v>300</v>
      </c>
      <c r="F49" s="11" t="s">
        <v>115</v>
      </c>
      <c r="G49" s="18" t="s">
        <v>100</v>
      </c>
      <c r="H49" s="129" t="s">
        <v>296</v>
      </c>
      <c r="I49" s="122" t="str">
        <f t="shared" si="0"/>
        <v>Mattson</v>
      </c>
      <c r="J49" s="136" t="s">
        <v>297</v>
      </c>
      <c r="K49" s="195" t="s">
        <v>278</v>
      </c>
      <c r="L49" s="9" t="s">
        <v>385</v>
      </c>
      <c r="M49" s="9"/>
      <c r="N49" s="14" t="s">
        <v>423</v>
      </c>
      <c r="O49" s="22" t="s">
        <v>215</v>
      </c>
      <c r="P49" s="17"/>
      <c r="Q49" s="182"/>
      <c r="R49" s="188" t="s">
        <v>280</v>
      </c>
      <c r="S49" s="198" t="s">
        <v>259</v>
      </c>
      <c r="T49" s="13" t="s">
        <v>403</v>
      </c>
      <c r="U49" s="13" t="s">
        <v>247</v>
      </c>
      <c r="V49" s="13" t="s">
        <v>281</v>
      </c>
    </row>
    <row r="50" spans="1:22" ht="34.5" customHeight="1">
      <c r="A50" s="14" t="s">
        <v>16</v>
      </c>
      <c r="B50" s="10">
        <v>2210</v>
      </c>
      <c r="C50" s="15" t="str">
        <f>'Log frame'!F19</f>
        <v>Mobilize communities to achieve Open Defecation Free status</v>
      </c>
      <c r="D50" s="375" t="s">
        <v>445</v>
      </c>
      <c r="E50" s="238" t="s">
        <v>446</v>
      </c>
      <c r="F50" s="11" t="s">
        <v>447</v>
      </c>
      <c r="G50" s="18" t="s">
        <v>448</v>
      </c>
      <c r="H50" s="129" t="s">
        <v>296</v>
      </c>
      <c r="I50" s="122" t="str">
        <f t="shared" si="0"/>
        <v>Mattson</v>
      </c>
      <c r="J50" s="136" t="s">
        <v>293</v>
      </c>
      <c r="K50" s="22" t="s">
        <v>442</v>
      </c>
      <c r="L50" s="14" t="s">
        <v>233</v>
      </c>
      <c r="M50" s="14"/>
      <c r="N50" s="14" t="s">
        <v>423</v>
      </c>
      <c r="O50" s="22" t="s">
        <v>215</v>
      </c>
      <c r="P50" s="17"/>
      <c r="Q50" s="182"/>
      <c r="R50" s="188" t="s">
        <v>280</v>
      </c>
      <c r="S50" s="198" t="s">
        <v>259</v>
      </c>
      <c r="T50" s="13" t="s">
        <v>403</v>
      </c>
      <c r="U50" s="13" t="s">
        <v>247</v>
      </c>
      <c r="V50" s="13" t="s">
        <v>281</v>
      </c>
    </row>
    <row r="51" spans="1:22" ht="34.5" customHeight="1">
      <c r="A51" s="14" t="s">
        <v>16</v>
      </c>
      <c r="B51" s="10">
        <v>2220</v>
      </c>
      <c r="C51" s="15" t="str">
        <f>'Log frame'!F21</f>
        <v>Certify the sustained usage of sanitation services.</v>
      </c>
      <c r="D51" s="375" t="s">
        <v>449</v>
      </c>
      <c r="E51" s="238" t="s">
        <v>450</v>
      </c>
      <c r="F51" s="11" t="s">
        <v>451</v>
      </c>
      <c r="G51" s="18" t="s">
        <v>448</v>
      </c>
      <c r="H51" s="111" t="s">
        <v>209</v>
      </c>
      <c r="I51" s="23" t="str">
        <f t="shared" si="0"/>
        <v>Mattson</v>
      </c>
      <c r="J51" s="112" t="s">
        <v>293</v>
      </c>
      <c r="K51" s="191" t="s">
        <v>442</v>
      </c>
      <c r="L51" s="14" t="s">
        <v>233</v>
      </c>
      <c r="M51" s="14"/>
      <c r="N51" s="14" t="s">
        <v>236</v>
      </c>
      <c r="O51" s="22" t="s">
        <v>215</v>
      </c>
      <c r="P51" s="17"/>
      <c r="Q51" s="182"/>
      <c r="R51" s="188" t="s">
        <v>280</v>
      </c>
      <c r="S51" s="198" t="s">
        <v>259</v>
      </c>
      <c r="T51" s="13" t="s">
        <v>403</v>
      </c>
      <c r="U51" s="13" t="s">
        <v>247</v>
      </c>
      <c r="V51" s="13" t="s">
        <v>281</v>
      </c>
    </row>
    <row r="52" spans="1:22" ht="34.5" customHeight="1">
      <c r="A52" s="14" t="s">
        <v>16</v>
      </c>
      <c r="B52" s="10">
        <v>2230</v>
      </c>
      <c r="C52" s="15" t="str">
        <f>'Log frame'!F23</f>
        <v>Construct public latrines.</v>
      </c>
      <c r="D52" s="373" t="s">
        <v>116</v>
      </c>
      <c r="E52" s="9" t="s">
        <v>301</v>
      </c>
      <c r="F52" s="9" t="s">
        <v>118</v>
      </c>
      <c r="G52" s="18" t="s">
        <v>119</v>
      </c>
      <c r="H52" s="111" t="s">
        <v>209</v>
      </c>
      <c r="I52" s="23" t="s">
        <v>302</v>
      </c>
      <c r="J52" s="112" t="s">
        <v>293</v>
      </c>
      <c r="K52" s="9" t="s">
        <v>36</v>
      </c>
      <c r="L52" s="14" t="s">
        <v>385</v>
      </c>
      <c r="M52" s="14"/>
      <c r="N52" s="14" t="s">
        <v>423</v>
      </c>
      <c r="O52" s="22" t="s">
        <v>215</v>
      </c>
      <c r="P52" s="17"/>
      <c r="Q52" s="182"/>
      <c r="R52" s="188" t="s">
        <v>280</v>
      </c>
      <c r="S52" s="198" t="s">
        <v>259</v>
      </c>
      <c r="T52" s="13" t="s">
        <v>403</v>
      </c>
      <c r="U52" s="13" t="s">
        <v>247</v>
      </c>
      <c r="V52" s="13" t="s">
        <v>304</v>
      </c>
    </row>
    <row r="53" spans="1:22" ht="34.5" customHeight="1">
      <c r="A53" s="51" t="s">
        <v>40</v>
      </c>
      <c r="B53" s="53">
        <v>2300</v>
      </c>
      <c r="C53" s="54" t="str">
        <f>'Log frame'!G17</f>
        <v>Increased household access to hygiene services.</v>
      </c>
      <c r="D53" s="373" t="s">
        <v>120</v>
      </c>
      <c r="E53" s="238" t="s">
        <v>305</v>
      </c>
      <c r="F53" s="54" t="s">
        <v>122</v>
      </c>
      <c r="G53" s="58" t="s">
        <v>123</v>
      </c>
      <c r="H53" s="128" t="s">
        <v>227</v>
      </c>
      <c r="I53" s="121" t="str">
        <f t="shared" si="0"/>
        <v>Mattson</v>
      </c>
      <c r="J53" s="138" t="s">
        <v>306</v>
      </c>
      <c r="K53" s="193" t="s">
        <v>278</v>
      </c>
      <c r="L53" s="51" t="s">
        <v>385</v>
      </c>
      <c r="M53" s="51"/>
      <c r="N53" s="51" t="s">
        <v>298</v>
      </c>
      <c r="O53" s="55" t="s">
        <v>215</v>
      </c>
      <c r="P53" s="64"/>
      <c r="Q53" s="183"/>
      <c r="R53" s="187" t="s">
        <v>280</v>
      </c>
      <c r="S53" s="200" t="s">
        <v>259</v>
      </c>
      <c r="T53" s="65" t="s">
        <v>403</v>
      </c>
      <c r="U53" s="65" t="s">
        <v>247</v>
      </c>
      <c r="V53" s="65" t="s">
        <v>307</v>
      </c>
    </row>
    <row r="54" spans="1:22" ht="34.5" customHeight="1">
      <c r="A54" s="51" t="s">
        <v>40</v>
      </c>
      <c r="B54" s="53">
        <v>2300</v>
      </c>
      <c r="C54" s="54" t="str">
        <f>'Log frame'!G17</f>
        <v>Increased household access to hygiene services.</v>
      </c>
      <c r="D54" s="375" t="s">
        <v>452</v>
      </c>
      <c r="E54" s="53" t="s">
        <v>453</v>
      </c>
      <c r="F54" s="118" t="s">
        <v>454</v>
      </c>
      <c r="G54" s="58" t="s">
        <v>92</v>
      </c>
      <c r="H54" s="128" t="s">
        <v>227</v>
      </c>
      <c r="I54" s="121" t="str">
        <f t="shared" si="0"/>
        <v>Mattson</v>
      </c>
      <c r="J54" s="138" t="s">
        <v>306</v>
      </c>
      <c r="K54" s="193" t="s">
        <v>278</v>
      </c>
      <c r="L54" s="51" t="s">
        <v>385</v>
      </c>
      <c r="M54" s="51"/>
      <c r="N54" s="51" t="s">
        <v>298</v>
      </c>
      <c r="O54" s="55" t="s">
        <v>215</v>
      </c>
      <c r="P54" s="64"/>
      <c r="Q54" s="183"/>
      <c r="R54" s="187" t="s">
        <v>280</v>
      </c>
      <c r="S54" s="200" t="s">
        <v>259</v>
      </c>
      <c r="T54" s="65" t="s">
        <v>403</v>
      </c>
      <c r="U54" s="65" t="s">
        <v>247</v>
      </c>
      <c r="V54" s="65" t="s">
        <v>307</v>
      </c>
    </row>
    <row r="55" spans="1:22" ht="34.5" customHeight="1">
      <c r="A55" s="14" t="s">
        <v>16</v>
      </c>
      <c r="B55" s="10">
        <v>2310</v>
      </c>
      <c r="C55" s="9" t="str">
        <f>'Log frame'!G19</f>
        <v>Train skilled community animators to deliver hygiene trainings and community mobilization.​</v>
      </c>
      <c r="D55" s="373" t="s">
        <v>124</v>
      </c>
      <c r="E55" s="9" t="s">
        <v>308</v>
      </c>
      <c r="F55" s="9" t="s">
        <v>126</v>
      </c>
      <c r="G55" s="18" t="s">
        <v>127</v>
      </c>
      <c r="H55" s="129" t="s">
        <v>227</v>
      </c>
      <c r="I55" s="122" t="str">
        <f t="shared" si="0"/>
        <v>Mattson</v>
      </c>
      <c r="J55" s="136" t="s">
        <v>228</v>
      </c>
      <c r="K55" s="22" t="s">
        <v>211</v>
      </c>
      <c r="L55" s="14" t="s">
        <v>385</v>
      </c>
      <c r="M55" s="14"/>
      <c r="N55" s="14" t="s">
        <v>386</v>
      </c>
      <c r="O55" s="22" t="s">
        <v>215</v>
      </c>
      <c r="P55" s="17"/>
      <c r="Q55" s="182"/>
      <c r="R55" s="151" t="s">
        <v>223</v>
      </c>
      <c r="S55" s="198" t="s">
        <v>259</v>
      </c>
      <c r="T55" s="13" t="s">
        <v>403</v>
      </c>
      <c r="U55" s="260" t="s">
        <v>215</v>
      </c>
      <c r="V55" s="13" t="s">
        <v>240</v>
      </c>
    </row>
    <row r="56" spans="1:22" s="246" customFormat="1" ht="34.5" customHeight="1">
      <c r="A56" s="235" t="s">
        <v>16</v>
      </c>
      <c r="B56" s="236">
        <v>2310</v>
      </c>
      <c r="C56" s="238" t="s">
        <v>125</v>
      </c>
      <c r="D56" s="376" t="s">
        <v>128</v>
      </c>
      <c r="E56" s="238" t="s">
        <v>310</v>
      </c>
      <c r="F56" s="238" t="s">
        <v>129</v>
      </c>
      <c r="G56" s="240" t="s">
        <v>130</v>
      </c>
      <c r="H56" s="272" t="s">
        <v>221</v>
      </c>
      <c r="I56" s="273" t="s">
        <v>222</v>
      </c>
      <c r="J56" s="243" t="s">
        <v>311</v>
      </c>
      <c r="K56" s="244" t="s">
        <v>211</v>
      </c>
      <c r="L56" s="235" t="s">
        <v>385</v>
      </c>
      <c r="M56" s="235"/>
      <c r="N56" s="235" t="s">
        <v>386</v>
      </c>
      <c r="O56" s="244" t="s">
        <v>215</v>
      </c>
      <c r="P56" s="151" t="s">
        <v>223</v>
      </c>
      <c r="Q56" s="198" t="s">
        <v>259</v>
      </c>
      <c r="R56" s="235" t="s">
        <v>223</v>
      </c>
      <c r="S56" s="248" t="s">
        <v>371</v>
      </c>
      <c r="T56" s="274" t="s">
        <v>240</v>
      </c>
      <c r="U56" s="284" t="s">
        <v>215</v>
      </c>
    </row>
    <row r="57" spans="1:22" ht="34.5" customHeight="1">
      <c r="A57" s="14" t="s">
        <v>16</v>
      </c>
      <c r="B57" s="10">
        <v>2320</v>
      </c>
      <c r="C57" s="15" t="str">
        <f>'Log frame'!G21</f>
        <v>Certify the sustained usage of hygiene services.</v>
      </c>
      <c r="D57" s="376" t="s">
        <v>131</v>
      </c>
      <c r="E57" s="9" t="s">
        <v>313</v>
      </c>
      <c r="F57" s="11" t="s">
        <v>132</v>
      </c>
      <c r="G57" s="18" t="s">
        <v>100</v>
      </c>
      <c r="H57" s="129" t="s">
        <v>227</v>
      </c>
      <c r="I57" s="122" t="str">
        <f t="shared" si="0"/>
        <v>Mattson</v>
      </c>
      <c r="J57" s="136" t="s">
        <v>228</v>
      </c>
      <c r="K57" s="191" t="s">
        <v>442</v>
      </c>
      <c r="L57" s="14" t="s">
        <v>385</v>
      </c>
      <c r="M57" s="14"/>
      <c r="N57" s="14" t="s">
        <v>386</v>
      </c>
      <c r="O57" s="22" t="s">
        <v>215</v>
      </c>
      <c r="P57" s="17"/>
      <c r="Q57" s="182"/>
      <c r="R57" s="151" t="s">
        <v>223</v>
      </c>
      <c r="S57" s="198" t="s">
        <v>259</v>
      </c>
      <c r="T57" s="13" t="s">
        <v>403</v>
      </c>
      <c r="U57" s="252" t="s">
        <v>215</v>
      </c>
      <c r="V57" s="13" t="s">
        <v>240</v>
      </c>
    </row>
    <row r="58" spans="1:22" ht="34.5" customHeight="1">
      <c r="A58" s="51" t="s">
        <v>40</v>
      </c>
      <c r="B58" s="53">
        <v>2400</v>
      </c>
      <c r="C58" s="54" t="str">
        <f>'Log frame'!H17</f>
        <v>Increased access to sustainable, safe drinking water, sanitation, and hygiene materials in healthcare facilities, schools, and public places.</v>
      </c>
      <c r="D58" s="377" t="s">
        <v>133</v>
      </c>
      <c r="E58" s="95" t="s">
        <v>455</v>
      </c>
      <c r="F58" s="95" t="s">
        <v>135</v>
      </c>
      <c r="G58" s="51" t="s">
        <v>136</v>
      </c>
      <c r="H58" s="132" t="s">
        <v>209</v>
      </c>
      <c r="I58" s="57" t="s">
        <v>302</v>
      </c>
      <c r="J58" s="113" t="s">
        <v>315</v>
      </c>
      <c r="K58" s="55" t="s">
        <v>316</v>
      </c>
      <c r="L58" s="51" t="s">
        <v>385</v>
      </c>
      <c r="M58" s="51"/>
      <c r="N58" s="51" t="s">
        <v>406</v>
      </c>
      <c r="O58" s="55" t="s">
        <v>215</v>
      </c>
      <c r="P58" s="64"/>
      <c r="Q58" s="183"/>
      <c r="R58" s="187" t="s">
        <v>317</v>
      </c>
      <c r="S58" s="200" t="s">
        <v>259</v>
      </c>
      <c r="T58" s="65" t="s">
        <v>403</v>
      </c>
      <c r="U58" s="65" t="s">
        <v>247</v>
      </c>
      <c r="V58" s="65" t="s">
        <v>248</v>
      </c>
    </row>
    <row r="59" spans="1:22" ht="34.5" customHeight="1">
      <c r="A59" s="51" t="s">
        <v>40</v>
      </c>
      <c r="B59" s="53">
        <v>2400</v>
      </c>
      <c r="C59" s="54" t="str">
        <f>'Log frame'!H17</f>
        <v>Increased access to sustainable, safe drinking water, sanitation, and hygiene materials in healthcare facilities, schools, and public places.</v>
      </c>
      <c r="D59" s="377" t="s">
        <v>137</v>
      </c>
      <c r="E59" s="59" t="s">
        <v>456</v>
      </c>
      <c r="F59" s="95" t="s">
        <v>138</v>
      </c>
      <c r="G59" s="51" t="s">
        <v>139</v>
      </c>
      <c r="H59" s="132" t="s">
        <v>209</v>
      </c>
      <c r="I59" s="57" t="s">
        <v>302</v>
      </c>
      <c r="J59" s="113" t="s">
        <v>315</v>
      </c>
      <c r="K59" s="55" t="s">
        <v>319</v>
      </c>
      <c r="L59" s="51" t="s">
        <v>385</v>
      </c>
      <c r="M59" s="51"/>
      <c r="N59" s="51" t="s">
        <v>406</v>
      </c>
      <c r="O59" s="55" t="s">
        <v>215</v>
      </c>
      <c r="P59" s="64"/>
      <c r="Q59" s="183"/>
      <c r="R59" s="187" t="s">
        <v>320</v>
      </c>
      <c r="S59" s="200" t="s">
        <v>259</v>
      </c>
      <c r="T59" s="65" t="s">
        <v>403</v>
      </c>
      <c r="U59" s="65" t="s">
        <v>247</v>
      </c>
      <c r="V59" s="65" t="s">
        <v>248</v>
      </c>
    </row>
    <row r="60" spans="1:22" ht="34.5" customHeight="1">
      <c r="A60" s="14" t="s">
        <v>16</v>
      </c>
      <c r="B60" s="10">
        <v>2410</v>
      </c>
      <c r="C60" s="9" t="str">
        <f>'Log frame'!H19</f>
        <v>Construct or rehabilitate water supply for healthcare facilities and schools.</v>
      </c>
      <c r="D60" s="378" t="s">
        <v>140</v>
      </c>
      <c r="E60" s="282" t="s">
        <v>321</v>
      </c>
      <c r="F60" s="96" t="s">
        <v>142</v>
      </c>
      <c r="G60" s="14" t="s">
        <v>143</v>
      </c>
      <c r="H60" s="111" t="s">
        <v>209</v>
      </c>
      <c r="I60" s="23" t="s">
        <v>302</v>
      </c>
      <c r="J60" s="136" t="s">
        <v>322</v>
      </c>
      <c r="K60" s="191" t="s">
        <v>316</v>
      </c>
      <c r="L60" s="14" t="s">
        <v>385</v>
      </c>
      <c r="M60" s="14"/>
      <c r="N60" s="14" t="s">
        <v>406</v>
      </c>
      <c r="O60" s="22" t="s">
        <v>215</v>
      </c>
      <c r="P60" s="17"/>
      <c r="Q60" s="182"/>
      <c r="R60" s="188" t="s">
        <v>317</v>
      </c>
      <c r="S60" s="198" t="s">
        <v>259</v>
      </c>
      <c r="T60" s="13" t="s">
        <v>403</v>
      </c>
      <c r="U60" s="13" t="s">
        <v>247</v>
      </c>
      <c r="V60" s="13" t="s">
        <v>248</v>
      </c>
    </row>
    <row r="61" spans="1:22" ht="34.5" customHeight="1">
      <c r="A61" s="14" t="s">
        <v>16</v>
      </c>
      <c r="B61" s="10">
        <v>2410</v>
      </c>
      <c r="C61" s="9" t="str">
        <f>'Log frame'!H19</f>
        <v>Construct or rehabilitate water supply for healthcare facilities and schools.</v>
      </c>
      <c r="D61" s="378" t="s">
        <v>144</v>
      </c>
      <c r="E61" s="283" t="s">
        <v>323</v>
      </c>
      <c r="F61" s="96" t="s">
        <v>145</v>
      </c>
      <c r="G61" s="14" t="s">
        <v>146</v>
      </c>
      <c r="H61" s="111" t="s">
        <v>209</v>
      </c>
      <c r="I61" s="23" t="s">
        <v>302</v>
      </c>
      <c r="J61" s="136" t="s">
        <v>322</v>
      </c>
      <c r="K61" s="191" t="s">
        <v>319</v>
      </c>
      <c r="L61" s="14" t="s">
        <v>385</v>
      </c>
      <c r="M61" s="14"/>
      <c r="N61" s="14" t="s">
        <v>406</v>
      </c>
      <c r="O61" s="22" t="s">
        <v>215</v>
      </c>
      <c r="P61" s="17"/>
      <c r="Q61" s="182"/>
      <c r="R61" s="188" t="s">
        <v>320</v>
      </c>
      <c r="S61" s="198" t="s">
        <v>259</v>
      </c>
      <c r="T61" s="13" t="s">
        <v>403</v>
      </c>
      <c r="U61" s="13" t="s">
        <v>247</v>
      </c>
      <c r="V61" s="13" t="s">
        <v>248</v>
      </c>
    </row>
    <row r="62" spans="1:22" ht="34.5" customHeight="1">
      <c r="A62" s="14" t="s">
        <v>16</v>
      </c>
      <c r="B62" s="10">
        <v>2420</v>
      </c>
      <c r="C62" s="15" t="str">
        <f>'Log frame'!H21</f>
        <v>Construct communal, healthcare facility, and school latrines.</v>
      </c>
      <c r="D62" s="376" t="s">
        <v>147</v>
      </c>
      <c r="E62" s="283" t="s">
        <v>324</v>
      </c>
      <c r="F62" s="96" t="s">
        <v>149</v>
      </c>
      <c r="G62" s="14" t="s">
        <v>143</v>
      </c>
      <c r="H62" s="111" t="s">
        <v>209</v>
      </c>
      <c r="I62" s="23" t="s">
        <v>302</v>
      </c>
      <c r="J62" s="136" t="s">
        <v>325</v>
      </c>
      <c r="K62" s="191" t="s">
        <v>316</v>
      </c>
      <c r="L62" s="14" t="s">
        <v>385</v>
      </c>
      <c r="M62" s="14"/>
      <c r="N62" s="14" t="s">
        <v>406</v>
      </c>
      <c r="O62" s="22" t="s">
        <v>215</v>
      </c>
      <c r="P62" s="17"/>
      <c r="Q62" s="182"/>
      <c r="R62" s="188" t="s">
        <v>317</v>
      </c>
      <c r="S62" s="198" t="s">
        <v>259</v>
      </c>
      <c r="T62" s="13" t="s">
        <v>403</v>
      </c>
      <c r="U62" s="13" t="s">
        <v>247</v>
      </c>
      <c r="V62" s="13" t="s">
        <v>248</v>
      </c>
    </row>
    <row r="63" spans="1:22" ht="34.5" customHeight="1">
      <c r="A63" s="14" t="s">
        <v>16</v>
      </c>
      <c r="B63" s="10">
        <v>2420</v>
      </c>
      <c r="C63" s="15" t="str">
        <f>'Log frame'!H21</f>
        <v>Construct communal, healthcare facility, and school latrines.</v>
      </c>
      <c r="D63" s="376" t="s">
        <v>150</v>
      </c>
      <c r="E63" s="283" t="s">
        <v>326</v>
      </c>
      <c r="F63" s="96" t="s">
        <v>151</v>
      </c>
      <c r="G63" s="14" t="s">
        <v>146</v>
      </c>
      <c r="H63" s="111" t="s">
        <v>209</v>
      </c>
      <c r="I63" s="23" t="s">
        <v>302</v>
      </c>
      <c r="J63" s="136" t="s">
        <v>325</v>
      </c>
      <c r="K63" s="191" t="s">
        <v>319</v>
      </c>
      <c r="L63" s="14" t="s">
        <v>385</v>
      </c>
      <c r="M63" s="14"/>
      <c r="N63" s="14" t="s">
        <v>406</v>
      </c>
      <c r="O63" s="22" t="s">
        <v>215</v>
      </c>
      <c r="P63" s="17"/>
      <c r="Q63" s="182"/>
      <c r="R63" s="188" t="s">
        <v>320</v>
      </c>
      <c r="S63" s="198" t="s">
        <v>259</v>
      </c>
      <c r="T63" s="13" t="s">
        <v>403</v>
      </c>
      <c r="U63" s="13" t="s">
        <v>247</v>
      </c>
      <c r="V63" s="13" t="s">
        <v>248</v>
      </c>
    </row>
    <row r="64" spans="1:22" ht="34.5" customHeight="1">
      <c r="A64" s="14" t="s">
        <v>16</v>
      </c>
      <c r="B64" s="10">
        <v>2430</v>
      </c>
      <c r="C64" s="9" t="str">
        <f>'Log frame'!H23</f>
        <v>Work with (local authorities, civil society) to ensure access to soap or alcohol-based handrub at schools and healthcare facilities.</v>
      </c>
      <c r="D64" s="376" t="s">
        <v>152</v>
      </c>
      <c r="E64" s="238" t="s">
        <v>327</v>
      </c>
      <c r="F64" s="96" t="s">
        <v>154</v>
      </c>
      <c r="G64" s="14" t="s">
        <v>143</v>
      </c>
      <c r="H64" s="111" t="s">
        <v>209</v>
      </c>
      <c r="I64" s="23" t="s">
        <v>302</v>
      </c>
      <c r="J64" s="136" t="s">
        <v>328</v>
      </c>
      <c r="K64" s="191" t="s">
        <v>316</v>
      </c>
      <c r="L64" s="14" t="s">
        <v>385</v>
      </c>
      <c r="M64" s="14"/>
      <c r="N64" s="14" t="s">
        <v>406</v>
      </c>
      <c r="O64" s="22" t="s">
        <v>215</v>
      </c>
      <c r="P64" s="17"/>
      <c r="Q64" s="182"/>
      <c r="R64" s="188" t="s">
        <v>317</v>
      </c>
      <c r="S64" s="198" t="s">
        <v>259</v>
      </c>
      <c r="T64" s="13" t="s">
        <v>403</v>
      </c>
      <c r="U64" s="13" t="s">
        <v>247</v>
      </c>
      <c r="V64" s="67" t="s">
        <v>248</v>
      </c>
    </row>
    <row r="65" spans="1:32" ht="34.5" customHeight="1">
      <c r="A65" s="14" t="s">
        <v>16</v>
      </c>
      <c r="B65" s="10">
        <v>2430</v>
      </c>
      <c r="C65" s="9" t="str">
        <f>'Log frame'!H23</f>
        <v>Work with (local authorities, civil society) to ensure access to soap or alcohol-based handrub at schools and healthcare facilities.</v>
      </c>
      <c r="D65" s="376" t="s">
        <v>155</v>
      </c>
      <c r="E65" s="238" t="s">
        <v>329</v>
      </c>
      <c r="F65" s="96" t="s">
        <v>156</v>
      </c>
      <c r="G65" s="14" t="s">
        <v>146</v>
      </c>
      <c r="H65" s="111" t="s">
        <v>209</v>
      </c>
      <c r="I65" s="23" t="s">
        <v>302</v>
      </c>
      <c r="J65" s="136" t="s">
        <v>330</v>
      </c>
      <c r="K65" s="191" t="s">
        <v>319</v>
      </c>
      <c r="L65" s="14" t="s">
        <v>385</v>
      </c>
      <c r="M65" s="14"/>
      <c r="N65" s="14" t="s">
        <v>406</v>
      </c>
      <c r="O65" s="22" t="s">
        <v>215</v>
      </c>
      <c r="P65" s="17"/>
      <c r="Q65" s="182"/>
      <c r="R65" s="188" t="s">
        <v>320</v>
      </c>
      <c r="S65" s="198" t="s">
        <v>259</v>
      </c>
      <c r="T65" s="13" t="s">
        <v>403</v>
      </c>
      <c r="U65" s="13" t="s">
        <v>247</v>
      </c>
      <c r="V65" s="13" t="s">
        <v>248</v>
      </c>
    </row>
    <row r="66" spans="1:32" ht="34.5" customHeight="1">
      <c r="A66" s="48" t="s">
        <v>37</v>
      </c>
      <c r="B66" s="50">
        <v>3000</v>
      </c>
      <c r="C66" s="50" t="str">
        <f>'Log frame'!I15</f>
        <v>Expanded reach and resources leveraged through collective action with other national and international actors.​</v>
      </c>
      <c r="D66" s="50" t="s">
        <v>36</v>
      </c>
      <c r="E66" s="50" t="s">
        <v>36</v>
      </c>
      <c r="F66" s="50" t="s">
        <v>36</v>
      </c>
      <c r="G66" s="48" t="s">
        <v>36</v>
      </c>
      <c r="H66" s="127" t="s">
        <v>36</v>
      </c>
      <c r="I66" s="120" t="str">
        <f t="shared" si="0"/>
        <v>Mattson</v>
      </c>
      <c r="J66" s="139" t="s">
        <v>36</v>
      </c>
      <c r="K66" s="48" t="s">
        <v>36</v>
      </c>
      <c r="L66" s="48" t="s">
        <v>36</v>
      </c>
      <c r="M66" s="48"/>
      <c r="N66" s="48" t="s">
        <v>36</v>
      </c>
      <c r="O66" s="48" t="s">
        <v>36</v>
      </c>
      <c r="P66" s="48" t="s">
        <v>36</v>
      </c>
      <c r="Q66" s="185" t="s">
        <v>36</v>
      </c>
      <c r="R66" s="181" t="s">
        <v>36</v>
      </c>
      <c r="S66" s="139" t="s">
        <v>36</v>
      </c>
      <c r="T66" s="48" t="s">
        <v>36</v>
      </c>
      <c r="U66" s="48" t="s">
        <v>36</v>
      </c>
      <c r="V66" s="50" t="s">
        <v>207</v>
      </c>
    </row>
    <row r="67" spans="1:32" ht="34.5" customHeight="1">
      <c r="A67" s="51" t="s">
        <v>40</v>
      </c>
      <c r="B67" s="53">
        <v>3100</v>
      </c>
      <c r="C67" s="147" t="str">
        <f>'Log frame'!I17</f>
        <v>Increased government and non-government funding in alignment with HANWASH Core Values.</v>
      </c>
      <c r="D67" s="379" t="s">
        <v>157</v>
      </c>
      <c r="E67" s="9" t="s">
        <v>457</v>
      </c>
      <c r="F67" s="175" t="s">
        <v>158</v>
      </c>
      <c r="G67" s="51" t="s">
        <v>159</v>
      </c>
      <c r="H67" s="133" t="s">
        <v>332</v>
      </c>
      <c r="I67" s="125" t="str">
        <f t="shared" si="0"/>
        <v>Mattson</v>
      </c>
      <c r="J67" s="140" t="s">
        <v>333</v>
      </c>
      <c r="K67" s="55" t="s">
        <v>399</v>
      </c>
      <c r="L67" s="51" t="s">
        <v>408</v>
      </c>
      <c r="M67" s="51"/>
      <c r="N67" s="51" t="s">
        <v>236</v>
      </c>
      <c r="O67" s="180" t="s">
        <v>231</v>
      </c>
      <c r="P67" s="51"/>
      <c r="Q67" s="133"/>
      <c r="R67" s="125" t="s">
        <v>223</v>
      </c>
      <c r="S67" s="140" t="s">
        <v>458</v>
      </c>
      <c r="T67" s="51" t="s">
        <v>236</v>
      </c>
      <c r="U67" s="51" t="s">
        <v>231</v>
      </c>
      <c r="V67" s="51" t="s">
        <v>459</v>
      </c>
    </row>
    <row r="68" spans="1:32" ht="38.25" customHeight="1">
      <c r="A68" s="51" t="s">
        <v>40</v>
      </c>
      <c r="B68" s="128">
        <v>3100</v>
      </c>
      <c r="C68" s="121" t="str">
        <f>'Log frame'!I17</f>
        <v>Increased government and non-government funding in alignment with HANWASH Core Values.</v>
      </c>
      <c r="D68" s="380" t="s">
        <v>160</v>
      </c>
      <c r="E68" s="113" t="s">
        <v>460</v>
      </c>
      <c r="F68" s="175" t="s">
        <v>161</v>
      </c>
      <c r="G68" s="51" t="s">
        <v>162</v>
      </c>
      <c r="H68" s="133" t="s">
        <v>209</v>
      </c>
      <c r="I68" s="125" t="s">
        <v>222</v>
      </c>
      <c r="J68" s="140" t="s">
        <v>339</v>
      </c>
      <c r="K68" s="55" t="s">
        <v>399</v>
      </c>
      <c r="L68" s="51" t="s">
        <v>408</v>
      </c>
      <c r="M68" s="51"/>
      <c r="N68" s="51" t="s">
        <v>236</v>
      </c>
      <c r="O68" s="180" t="s">
        <v>231</v>
      </c>
      <c r="P68" s="51"/>
      <c r="Q68" s="133"/>
      <c r="R68" s="125" t="s">
        <v>223</v>
      </c>
      <c r="S68" s="140" t="s">
        <v>259</v>
      </c>
      <c r="T68" s="51" t="s">
        <v>403</v>
      </c>
      <c r="U68" s="51" t="s">
        <v>247</v>
      </c>
      <c r="V68" s="51" t="s">
        <v>240</v>
      </c>
      <c r="W68" s="8"/>
      <c r="X68" s="8"/>
      <c r="Y68" s="8"/>
      <c r="Z68" s="8"/>
      <c r="AA68" s="8"/>
      <c r="AB68" s="8"/>
      <c r="AC68" s="8"/>
      <c r="AD68" s="8"/>
      <c r="AE68" s="8"/>
      <c r="AF68" s="8"/>
    </row>
    <row r="69" spans="1:32" ht="34.5" customHeight="1">
      <c r="A69" s="14" t="s">
        <v>16</v>
      </c>
      <c r="B69" s="10">
        <v>3110</v>
      </c>
      <c r="C69" s="148" t="str">
        <f>'Log frame'!I19</f>
        <v>Mobilize and coordinate funding from government and non-government sources in HANWASH program areas in alignment with HANWASH Core Values.</v>
      </c>
      <c r="D69" s="381" t="s">
        <v>163</v>
      </c>
      <c r="E69" s="9" t="s">
        <v>461</v>
      </c>
      <c r="F69" s="11" t="s">
        <v>164</v>
      </c>
      <c r="G69" s="18" t="s">
        <v>159</v>
      </c>
      <c r="H69" s="129" t="s">
        <v>332</v>
      </c>
      <c r="I69" s="122" t="str">
        <f t="shared" si="0"/>
        <v>Mattson</v>
      </c>
      <c r="J69" s="136" t="s">
        <v>341</v>
      </c>
      <c r="K69" s="22" t="s">
        <v>399</v>
      </c>
      <c r="L69" s="14" t="s">
        <v>408</v>
      </c>
      <c r="M69" s="14"/>
      <c r="N69" s="14" t="s">
        <v>236</v>
      </c>
      <c r="O69" s="22" t="s">
        <v>231</v>
      </c>
      <c r="P69" s="17"/>
      <c r="Q69" s="182"/>
      <c r="R69" s="189" t="s">
        <v>223</v>
      </c>
      <c r="S69" s="198" t="s">
        <v>458</v>
      </c>
      <c r="T69" s="13" t="s">
        <v>236</v>
      </c>
      <c r="U69" s="22" t="s">
        <v>231</v>
      </c>
      <c r="V69" s="13" t="s">
        <v>459</v>
      </c>
    </row>
    <row r="70" spans="1:32" ht="34.5" customHeight="1">
      <c r="A70" s="14" t="s">
        <v>16</v>
      </c>
      <c r="B70" s="10">
        <v>3120</v>
      </c>
      <c r="C70" s="15" t="str">
        <f>'Log frame'!I21</f>
        <v>Mobilize and influence funding from government and non-government sources beyond HANWASH program areas in alignment with HANWASH Core Values.</v>
      </c>
      <c r="D70" s="376" t="s">
        <v>165</v>
      </c>
      <c r="E70" s="9" t="s">
        <v>462</v>
      </c>
      <c r="F70" s="11" t="s">
        <v>166</v>
      </c>
      <c r="G70" s="18" t="s">
        <v>159</v>
      </c>
      <c r="H70" s="129" t="s">
        <v>332</v>
      </c>
      <c r="I70" s="122" t="s">
        <v>302</v>
      </c>
      <c r="J70" s="136" t="s">
        <v>341</v>
      </c>
      <c r="K70" s="22" t="s">
        <v>399</v>
      </c>
      <c r="L70" s="14" t="s">
        <v>408</v>
      </c>
      <c r="M70" s="14"/>
      <c r="N70" s="14" t="s">
        <v>236</v>
      </c>
      <c r="O70" s="22" t="s">
        <v>231</v>
      </c>
      <c r="P70" s="17"/>
      <c r="Q70" s="182"/>
      <c r="R70" s="189" t="s">
        <v>223</v>
      </c>
      <c r="S70" s="198" t="s">
        <v>458</v>
      </c>
      <c r="T70" s="13" t="s">
        <v>236</v>
      </c>
      <c r="U70" s="22" t="s">
        <v>231</v>
      </c>
      <c r="V70" s="13" t="s">
        <v>459</v>
      </c>
    </row>
    <row r="71" spans="1:32" ht="34.5" customHeight="1">
      <c r="A71" s="51" t="s">
        <v>40</v>
      </c>
      <c r="B71" s="60">
        <v>3200</v>
      </c>
      <c r="C71" s="61" t="str">
        <f>'Log frame'!J17</f>
        <v>Increased capacity of DINEPA to regulate the sector and OREPA to oversee and support implementation.</v>
      </c>
      <c r="D71" s="383" t="s">
        <v>167</v>
      </c>
      <c r="E71" s="53" t="s">
        <v>343</v>
      </c>
      <c r="F71" s="53" t="s">
        <v>168</v>
      </c>
      <c r="G71" s="52" t="s">
        <v>169</v>
      </c>
      <c r="H71" s="130" t="s">
        <v>227</v>
      </c>
      <c r="I71" s="123" t="str">
        <f t="shared" si="0"/>
        <v>Mattson</v>
      </c>
      <c r="J71" s="113" t="s">
        <v>344</v>
      </c>
      <c r="K71" s="55" t="s">
        <v>345</v>
      </c>
      <c r="L71" s="53" t="s">
        <v>408</v>
      </c>
      <c r="M71" s="53"/>
      <c r="N71" s="53" t="s">
        <v>236</v>
      </c>
      <c r="O71" s="53" t="s">
        <v>36</v>
      </c>
      <c r="P71" s="53" t="s">
        <v>36</v>
      </c>
      <c r="Q71" s="53" t="s">
        <v>36</v>
      </c>
      <c r="R71" s="53" t="s">
        <v>36</v>
      </c>
      <c r="S71" s="53" t="s">
        <v>36</v>
      </c>
      <c r="T71" s="53" t="s">
        <v>36</v>
      </c>
      <c r="U71" s="53" t="s">
        <v>36</v>
      </c>
      <c r="V71" s="53" t="s">
        <v>463</v>
      </c>
    </row>
    <row r="72" spans="1:32" ht="34.5" customHeight="1">
      <c r="A72" s="14" t="s">
        <v>16</v>
      </c>
      <c r="B72" s="25">
        <v>3210</v>
      </c>
      <c r="C72" s="14" t="str">
        <f>'Log frame'!J19</f>
        <v>Conduct leadership training of DINEPA and OREPA personnel.</v>
      </c>
      <c r="D72" s="382" t="s">
        <v>464</v>
      </c>
      <c r="E72" s="9" t="s">
        <v>465</v>
      </c>
      <c r="F72" s="9" t="s">
        <v>466</v>
      </c>
      <c r="G72" s="10" t="s">
        <v>100</v>
      </c>
      <c r="H72" s="131" t="s">
        <v>209</v>
      </c>
      <c r="I72" s="124" t="str">
        <f t="shared" si="0"/>
        <v>Mattson</v>
      </c>
      <c r="J72" s="136" t="s">
        <v>467</v>
      </c>
      <c r="K72" s="191" t="s">
        <v>211</v>
      </c>
      <c r="L72" s="9" t="s">
        <v>385</v>
      </c>
      <c r="M72" s="9"/>
      <c r="N72" s="13" t="s">
        <v>386</v>
      </c>
      <c r="O72" s="22" t="s">
        <v>215</v>
      </c>
      <c r="P72" s="17"/>
      <c r="Q72" s="182"/>
      <c r="R72" s="189" t="s">
        <v>223</v>
      </c>
      <c r="S72" s="198" t="s">
        <v>371</v>
      </c>
      <c r="T72" s="13" t="s">
        <v>268</v>
      </c>
      <c r="U72" s="22" t="s">
        <v>215</v>
      </c>
      <c r="V72" s="13" t="s">
        <v>240</v>
      </c>
    </row>
    <row r="73" spans="1:32" ht="34.5" customHeight="1">
      <c r="A73" s="14" t="s">
        <v>16</v>
      </c>
      <c r="B73" s="25">
        <v>3220</v>
      </c>
      <c r="C73" s="44" t="str">
        <f>'Log frame'!J21</f>
        <v>Provide technical assistance and training to DINEPA and the OREPAs.</v>
      </c>
      <c r="D73" s="376" t="s">
        <v>170</v>
      </c>
      <c r="E73" s="9" t="s">
        <v>347</v>
      </c>
      <c r="F73" s="11" t="s">
        <v>171</v>
      </c>
      <c r="G73" s="10" t="s">
        <v>172</v>
      </c>
      <c r="H73" s="131" t="s">
        <v>209</v>
      </c>
      <c r="I73" s="124" t="str">
        <f t="shared" si="0"/>
        <v>Mattson</v>
      </c>
      <c r="J73" s="136" t="s">
        <v>228</v>
      </c>
      <c r="K73" s="191" t="s">
        <v>211</v>
      </c>
      <c r="L73" s="9" t="s">
        <v>385</v>
      </c>
      <c r="M73" s="9"/>
      <c r="N73" s="13" t="s">
        <v>468</v>
      </c>
      <c r="O73" s="22" t="s">
        <v>215</v>
      </c>
      <c r="P73" s="17"/>
      <c r="Q73" s="17"/>
      <c r="R73" s="190" t="s">
        <v>223</v>
      </c>
      <c r="S73" s="13" t="s">
        <v>371</v>
      </c>
      <c r="T73" s="13" t="s">
        <v>268</v>
      </c>
      <c r="U73" s="22" t="s">
        <v>215</v>
      </c>
      <c r="V73" s="13" t="s">
        <v>240</v>
      </c>
    </row>
  </sheetData>
  <autoFilter ref="A14:N73" xr:uid="{BE8B9DD6-C48E-49B4-B8BB-6D4871740D80}"/>
  <mergeCells count="19">
    <mergeCell ref="A13:C13"/>
    <mergeCell ref="V13:V14"/>
    <mergeCell ref="P13:Q13"/>
    <mergeCell ref="R13:U13"/>
    <mergeCell ref="D13:J13"/>
    <mergeCell ref="K13:O13"/>
    <mergeCell ref="F4:T4"/>
    <mergeCell ref="F5:T5"/>
    <mergeCell ref="F6:T6"/>
    <mergeCell ref="F7:T7"/>
    <mergeCell ref="F8:T8"/>
    <mergeCell ref="A6:C6"/>
    <mergeCell ref="A7:C7"/>
    <mergeCell ref="A8:C8"/>
    <mergeCell ref="A1:C1"/>
    <mergeCell ref="A2:C2"/>
    <mergeCell ref="A3:C3"/>
    <mergeCell ref="A4:C4"/>
    <mergeCell ref="A5:C5"/>
  </mergeCells>
  <hyperlinks>
    <hyperlink ref="K43" r:id="rId1" location="/forms/d97abfe8b83843dcb03c5b1d72e01f93/preview" xr:uid="{53AEBB79-BCD7-F843-979F-1814DAD2CC56}"/>
    <hyperlink ref="R29" r:id="rId2" location="/forms/530fe4e5a09f42d0a96cef1b855a5241/preview" display="HANWASH household audit" xr:uid="{ED10ACB0-23C2-3D4A-A3FF-DDE4A085236E}"/>
    <hyperlink ref="K55" r:id="rId3" location="/forms/76ba0885e88a4c20b8686aa9204acd30" xr:uid="{1160E127-5A37-9443-986D-FB9545B1309A}"/>
    <hyperlink ref="K41" r:id="rId4" location="/forms/76ba0885e88a4c20b8686aa9204acd30" xr:uid="{B08B9D7E-4176-B24D-B07A-EDD444997C90}"/>
    <hyperlink ref="K31" r:id="rId5" location="/forms/76ba0885e88a4c20b8686aa9204acd30" xr:uid="{CE8C4D39-3FF0-D44D-B38F-81C8DAF8E6F4}"/>
    <hyperlink ref="K17" r:id="rId6" location="/forms/76ba0885e88a4c20b8686aa9204acd30" xr:uid="{5DDD49E4-1EF6-BD40-949A-342D9A41EE8B}"/>
    <hyperlink ref="K19" r:id="rId7" location="/forms/76ba0885e88a4c20b8686aa9204acd30" xr:uid="{D1461488-914F-954E-BFB0-BC1C5EE6CF13}"/>
    <hyperlink ref="K21" r:id="rId8" location="/forms/76ba0885e88a4c20b8686aa9204acd30" xr:uid="{52B7DFDE-E463-E54B-BA6D-F4EA2841FE99}"/>
    <hyperlink ref="K22" r:id="rId9" location="/forms/76ba0885e88a4c20b8686aa9204acd30" xr:uid="{93E870A8-4C57-224C-A442-B7A507082E62}"/>
    <hyperlink ref="K50" r:id="rId10" location="/forms/2bd65fbd2daf4064ac60694210797595" display="Rapid community assessment" xr:uid="{1E5EFA7E-DD00-0D45-8A76-BCB001096E72}"/>
    <hyperlink ref="K27" r:id="rId11" location="/forms/76ba0885e88a4c20b8686aa9204acd30" xr:uid="{2A8A4807-EE2E-3644-B80A-AC1A662E3621}"/>
    <hyperlink ref="K29" r:id="rId12" location="/forms/fad15f51bbf44bb0bf9c36f08887c2dd" display="Water point survey (type &amp; functionality) + rapid community assessment (HH count)" xr:uid="{0B3304EB-F9D1-5E43-AB77-1BABFFE23F46}"/>
    <hyperlink ref="K33" r:id="rId13" location="/forms/d97abfe8b83843dcb03c5b1d72e01f93/preview" display="SAEP monthly report" xr:uid="{8D9471C7-CFF6-8A49-B761-700568917108}"/>
    <hyperlink ref="K34" r:id="rId14" location="/forms/d97abfe8b83843dcb03c5b1d72e01f93/preview" xr:uid="{1B33182A-0FA1-0C41-A2DE-53654A1230CC}"/>
    <hyperlink ref="K36" r:id="rId15" location="/forms/fad15f51bbf44bb0bf9c36f08887c2dd" display="Water point survey (type &amp; functionality) + rapid community assessment (HH count)" xr:uid="{9347A304-DDDB-E24C-B3D0-29C48B502EF7}"/>
    <hyperlink ref="K58" r:id="rId16" location="/forms/802cd40b8ada491eae959778d70597bf" xr:uid="{767E34D7-416B-FF42-B48D-320C56CF5FD5}"/>
    <hyperlink ref="K60" r:id="rId17" location="/forms/802cd40b8ada491eae959778d70597bf" xr:uid="{22C41CF6-7B19-0145-9288-DAE71920C415}"/>
    <hyperlink ref="K62" r:id="rId18" location="/forms/802cd40b8ada491eae959778d70597bf" xr:uid="{6EF0FDD8-8CFE-F549-BDF2-29D937D500CF}"/>
    <hyperlink ref="K64" r:id="rId19" location="/forms/802cd40b8ada491eae959778d70597bf" xr:uid="{42686B13-A7D5-D741-85D9-96D1AEF8A0B4}"/>
    <hyperlink ref="K59" r:id="rId20" location="/forms/b823db9a3c794e3bbfb204540990c2c8" xr:uid="{2422B0E1-A381-BF4E-8E6A-A4C7373DF3C8}"/>
    <hyperlink ref="K61" r:id="rId21" location="/forms/b823db9a3c794e3bbfb204540990c2c8" xr:uid="{5544413C-B702-F444-9958-C18213E629CE}"/>
    <hyperlink ref="K63" r:id="rId22" location="/forms/b823db9a3c794e3bbfb204540990c2c8" xr:uid="{FA00FAC7-6593-074D-9D41-F69F84DEABB5}"/>
    <hyperlink ref="K65" r:id="rId23" location="/forms/b823db9a3c794e3bbfb204540990c2c8" xr:uid="{49A021D5-14A9-7146-ACFD-97BE7E39090D}"/>
    <hyperlink ref="K40" r:id="rId24" location="/forms/fad15f51bbf44bb0bf9c36f08887c2dd" display="Water point survey (type &amp; functionality) + rapid community assessment (HH count)" xr:uid="{6CD66431-5CB3-C340-A152-DE050DB66F00}"/>
    <hyperlink ref="K73" r:id="rId25" location="/forms/76ba0885e88a4c20b8686aa9204acd30" xr:uid="{6AE88E4F-2C32-6C45-A2D2-0FCE75A34831}"/>
    <hyperlink ref="K45" r:id="rId26" location="/forms/76ba0885e88a4c20b8686aa9204acd30" xr:uid="{82D30E5B-B8FC-FC45-B061-D65DB56AB881}"/>
    <hyperlink ref="K72" r:id="rId27" location="/forms/76ba0885e88a4c20b8686aa9204acd30" xr:uid="{13132880-147A-D04B-A50C-7DD4EDCA8E57}"/>
    <hyperlink ref="P25" r:id="rId28" location="/consoles/818a590d510e40728bc1e969aa98c0db?tab=e4139e54-32f5-49d7-872a-9c40004944f3" xr:uid="{F0B97F72-6D83-404A-BB4A-31370B4C653D}"/>
    <hyperlink ref="P29" r:id="rId29" location="/forms/fad15f51bbf44bb0bf9c36f08887c2dd" display="Water point survey (type &amp; functionality) + rapid community assessment (HH count)" xr:uid="{B90EC66F-6C3C-BF42-BCB5-F28C8FA2E910}"/>
    <hyperlink ref="O29" r:id="rId30" location="/consoles/1d080c5b8c154825b446b267319a8288?tab=b96fe26a-1712-43b1-a86b-26e9f7b833b4" xr:uid="{95CE31CF-8DF3-1E4B-BE55-C8DEAF59E629}"/>
    <hyperlink ref="O25" r:id="rId31" location="/consoles/818a590d510e40728bc1e969aa98c0db?tab=e4139e54-32f5-49d7-872a-9c40004944f3" xr:uid="{59D79D40-8E3F-BE4A-A478-8E0AF10342E5}"/>
    <hyperlink ref="O37" r:id="rId32" location="/consoles/1d080c5b8c154825b446b267319a8288?tab=b96fe26a-1712-43b1-a86b-26e9f7b833b4" xr:uid="{1D867E09-5EB4-2744-A115-C6008E459097}"/>
    <hyperlink ref="O38" r:id="rId33" location="/consoles/1d080c5b8c154825b446b267319a8288?tab=b96fe26a-1712-43b1-a86b-26e9f7b833b4" xr:uid="{FC5BA73E-52D2-C347-8DD7-E5764D348E33}"/>
    <hyperlink ref="O36" r:id="rId34" location="/consoles/1d080c5b8c154825b446b267319a8288?tab=b96fe26a-1712-43b1-a86b-26e9f7b833b4" xr:uid="{EF3FB051-A3FB-EB40-84CD-C77E1E8836C3}"/>
    <hyperlink ref="O47" r:id="rId35" location="/consoles/1d080c5b8c154825b446b267319a8288?tab=b96fe26a-1712-43b1-a86b-26e9f7b833b4" xr:uid="{197BB993-6789-2A46-8EE4-E41A1B8C4B21}"/>
    <hyperlink ref="O48" r:id="rId36" location="/consoles/1d080c5b8c154825b446b267319a8288?tab=b96fe26a-1712-43b1-a86b-26e9f7b833b4" xr:uid="{CC0DE3FD-C304-FB48-A1AF-8A409A9483A9}"/>
    <hyperlink ref="O54" r:id="rId37" location="/consoles/1d080c5b8c154825b446b267319a8288?tab=b96fe26a-1712-43b1-a86b-26e9f7b833b4" xr:uid="{A6B196B7-8F28-BE4B-B22E-B265EECB632A}"/>
    <hyperlink ref="O58" r:id="rId38" location="/consoles/1d080c5b8c154825b446b267319a8288?tab=b96fe26a-1712-43b1-a86b-26e9f7b833b4" xr:uid="{BDC3FB2D-E821-5946-983C-1EC4E5CEA030}"/>
    <hyperlink ref="O59" r:id="rId39" location="/consoles/1d080c5b8c154825b446b267319a8288?tab=b96fe26a-1712-43b1-a86b-26e9f7b833b4" xr:uid="{FAC70758-2D35-894B-B99B-695D97D29BFA}"/>
    <hyperlink ref="O17" r:id="rId40" location="/consoles/1d080c5b8c154825b446b267319a8288?tab=b96fe26a-1712-43b1-a86b-26e9f7b833b4" xr:uid="{6F7880DF-4723-354F-8C39-5A59E20D7C1F}"/>
    <hyperlink ref="O19" r:id="rId41" location="/consoles/1d080c5b8c154825b446b267319a8288?tab=b96fe26a-1712-43b1-a86b-26e9f7b833b4" xr:uid="{03B10D07-4636-CB48-AC69-0F27EB4D4D98}"/>
    <hyperlink ref="O21" r:id="rId42" location="/consoles/1d080c5b8c154825b446b267319a8288?tab=b96fe26a-1712-43b1-a86b-26e9f7b833b4" xr:uid="{D16A97B2-1B1C-A84E-85BD-C12C0CF92DF4}"/>
    <hyperlink ref="O22" r:id="rId43" location="/consoles/1d080c5b8c154825b446b267319a8288?tab=b96fe26a-1712-43b1-a86b-26e9f7b833b4" xr:uid="{4884E522-874B-E942-887F-979382D9DD94}"/>
    <hyperlink ref="O26" r:id="rId44" location="/consoles/818a590d510e40728bc1e969aa98c0db?tab=e4139e54-32f5-49d7-872a-9c40004944f3" xr:uid="{923C6C9F-32FB-524A-8C98-D7712BF9A33A}"/>
    <hyperlink ref="O27" r:id="rId45" location="/consoles/1d080c5b8c154825b446b267319a8288?tab=b96fe26a-1712-43b1-a86b-26e9f7b833b4" xr:uid="{254E6414-C919-614E-9499-C3C873A46C01}"/>
    <hyperlink ref="O31" r:id="rId46" location="/consoles/1d080c5b8c154825b446b267319a8288?tab=b96fe26a-1712-43b1-a86b-26e9f7b833b4" xr:uid="{5F2760E3-0A60-1447-A731-46D9E2D7AFD1}"/>
    <hyperlink ref="O33" r:id="rId47" location="/consoles/1d080c5b8c154825b446b267319a8288?tab=b96fe26a-1712-43b1-a86b-26e9f7b833b4" xr:uid="{F4A702D2-AE77-E24B-AF43-F107328C53D2}"/>
    <hyperlink ref="O34" r:id="rId48" location="/consoles/1d080c5b8c154825b446b267319a8288?tab=b96fe26a-1712-43b1-a86b-26e9f7b833b4" xr:uid="{3820AC10-330D-B841-899E-1F943E58DF69}"/>
    <hyperlink ref="O40" r:id="rId49" location="/consoles/1d080c5b8c154825b446b267319a8288?tab=b96fe26a-1712-43b1-a86b-26e9f7b833b4" xr:uid="{9AE03329-451D-A04C-99B2-CE49CEB11C2D}"/>
    <hyperlink ref="O41" r:id="rId50" location="/consoles/1d080c5b8c154825b446b267319a8288?tab=b96fe26a-1712-43b1-a86b-26e9f7b833b4" xr:uid="{4F0F9BA5-A2EF-974F-B6BD-F66CFBFCA537}"/>
    <hyperlink ref="O43" r:id="rId51" location="/consoles/1d080c5b8c154825b446b267319a8288?tab=b96fe26a-1712-43b1-a86b-26e9f7b833b4" xr:uid="{410229DF-6C75-464B-AB59-424D422040B7}"/>
    <hyperlink ref="O45" r:id="rId52" location="/consoles/1d080c5b8c154825b446b267319a8288?tab=b96fe26a-1712-43b1-a86b-26e9f7b833b4" xr:uid="{133BCB0C-B7B8-E64C-8EF9-49E8A93187FF}"/>
    <hyperlink ref="O49" r:id="rId53" location="/consoles/1d080c5b8c154825b446b267319a8288?tab=b96fe26a-1712-43b1-a86b-26e9f7b833b4" xr:uid="{EC0682DB-5A93-9E47-97A6-D876F9B2F33A}"/>
    <hyperlink ref="O50" r:id="rId54" location="/consoles/1d080c5b8c154825b446b267319a8288?tab=b96fe26a-1712-43b1-a86b-26e9f7b833b4" xr:uid="{D4C8D3E8-640E-9048-BF63-F162ED38D4A2}"/>
    <hyperlink ref="O55" r:id="rId55" location="/consoles/1d080c5b8c154825b446b267319a8288?tab=b96fe26a-1712-43b1-a86b-26e9f7b833b4" xr:uid="{A72455C9-7258-C74E-A2BC-63D853F323ED}"/>
    <hyperlink ref="O57" r:id="rId56" location="/consoles/1d080c5b8c154825b446b267319a8288?tab=b96fe26a-1712-43b1-a86b-26e9f7b833b4" xr:uid="{EB8D1E02-319B-1A4F-A121-2A34B5FC34F3}"/>
    <hyperlink ref="O60" r:id="rId57" location="/consoles/1d080c5b8c154825b446b267319a8288?tab=b96fe26a-1712-43b1-a86b-26e9f7b833b4" xr:uid="{E0171580-44C5-0F47-910E-01A4AE479484}"/>
    <hyperlink ref="O61" r:id="rId58" location="/consoles/1d080c5b8c154825b446b267319a8288?tab=b96fe26a-1712-43b1-a86b-26e9f7b833b4" xr:uid="{DDE2AF00-D42F-394B-85D4-66BBA2C59CF9}"/>
    <hyperlink ref="O62" r:id="rId59" location="/consoles/1d080c5b8c154825b446b267319a8288?tab=b96fe26a-1712-43b1-a86b-26e9f7b833b4" xr:uid="{99F73C92-96BA-7D4D-8141-940ACD903E1A}"/>
    <hyperlink ref="O63" r:id="rId60" location="/consoles/1d080c5b8c154825b446b267319a8288?tab=b96fe26a-1712-43b1-a86b-26e9f7b833b4" xr:uid="{017D962E-5230-6443-907C-E0059B2AD57D}"/>
    <hyperlink ref="O64" r:id="rId61" location="/consoles/1d080c5b8c154825b446b267319a8288?tab=b96fe26a-1712-43b1-a86b-26e9f7b833b4" xr:uid="{076A5067-D150-DB4B-90B8-0A554C665BC9}"/>
    <hyperlink ref="O65" r:id="rId62" location="/consoles/1d080c5b8c154825b446b267319a8288?tab=b96fe26a-1712-43b1-a86b-26e9f7b833b4" xr:uid="{B3BF3BC1-B51C-4646-8B1C-7F5D19118583}"/>
    <hyperlink ref="O69" r:id="rId63" location="/consoles/818a590d510e40728bc1e969aa98c0db?tab=e4139e54-32f5-49d7-872a-9c40004944f3" xr:uid="{76DE8305-833A-4448-8A5A-43696A9886CA}"/>
    <hyperlink ref="O70" r:id="rId64" location="/consoles/818a590d510e40728bc1e969aa98c0db?tab=e4139e54-32f5-49d7-872a-9c40004944f3" xr:uid="{CA571B4B-8460-344F-A3D8-8FE83E8DF3C7}"/>
    <hyperlink ref="O72" r:id="rId65" location="/consoles/1d080c5b8c154825b446b267319a8288?tab=b96fe26a-1712-43b1-a86b-26e9f7b833b4" xr:uid="{896EAC33-5EA5-4C4C-970B-B0376477043A}"/>
    <hyperlink ref="O73" r:id="rId66" location="/consoles/1d080c5b8c154825b446b267319a8288?tab=b96fe26a-1712-43b1-a86b-26e9f7b833b4" xr:uid="{2C555E3F-968C-694E-87C1-24A0A150CE72}"/>
    <hyperlink ref="U25" r:id="rId67" location="/consoles/818a590d510e40728bc1e969aa98c0db?tab=e4139e54-32f5-49d7-872a-9c40004944f3" xr:uid="{D8BA03EF-EE62-B745-A15C-5F2B7EB9BDC3}"/>
    <hyperlink ref="U17" r:id="rId68" location="/consoles/1d080c5b8c154825b446b267319a8288?tab=b96fe26a-1712-43b1-a86b-26e9f7b833b4" xr:uid="{B18309F3-5E7E-EE4B-ABE3-F999902925DA}"/>
    <hyperlink ref="U19" r:id="rId69" location="/consoles/1d080c5b8c154825b446b267319a8288?tab=b96fe26a-1712-43b1-a86b-26e9f7b833b4" xr:uid="{1CFA9989-7B80-194D-8002-0341B8F252CA}"/>
    <hyperlink ref="U21" r:id="rId70" location="/consoles/1d080c5b8c154825b446b267319a8288?tab=b96fe26a-1712-43b1-a86b-26e9f7b833b4" xr:uid="{ECEB9CAC-F7BD-6141-98A9-CD020BF8FB9D}"/>
    <hyperlink ref="U22" r:id="rId71" location="/consoles/1d080c5b8c154825b446b267319a8288?tab=b96fe26a-1712-43b1-a86b-26e9f7b833b4" xr:uid="{0740B072-9B6D-A14B-BADA-730D79B7E24A}"/>
    <hyperlink ref="U26" r:id="rId72" location="/consoles/818a590d510e40728bc1e969aa98c0db?tab=e4139e54-32f5-49d7-872a-9c40004944f3" xr:uid="{ECC0C989-5C3E-F146-8063-01B125F90C9C}"/>
    <hyperlink ref="R37" r:id="rId73" location="/forms/530fe4e5a09f42d0a96cef1b855a5241/preview" xr:uid="{D45006C9-E405-4641-9289-25BB1EBA5C52}"/>
    <hyperlink ref="R38" r:id="rId74" location="/forms/530fe4e5a09f42d0a96cef1b855a5241/preview" xr:uid="{33ECE2EA-40DD-DA4C-AA22-AF3BDE29A135}"/>
    <hyperlink ref="R36" r:id="rId75" location="/forms/530fe4e5a09f42d0a96cef1b855a5241/preview" xr:uid="{64C37E4A-5717-954D-93B9-F66C1D419771}"/>
    <hyperlink ref="R47" r:id="rId76" location="/forms/530fe4e5a09f42d0a96cef1b855a5241/preview" xr:uid="{0E67D9EA-8E90-734B-A622-BB6E1DC298F4}"/>
    <hyperlink ref="R48" r:id="rId77" location="/forms/530fe4e5a09f42d0a96cef1b855a5241/preview" xr:uid="{AB751A9C-1F94-DF41-B3A4-B79CF2F7CA48}"/>
    <hyperlink ref="R54" r:id="rId78" location="/forms/530fe4e5a09f42d0a96cef1b855a5241/preview" xr:uid="{10D0D17F-6FB0-EB48-8C94-D5F2DA572DD0}"/>
    <hyperlink ref="R58" r:id="rId79" location="/forms/802cd40b8ada491eae959778d70597bf" xr:uid="{D833D321-D715-454C-82E5-5F05A6BE2F63}"/>
    <hyperlink ref="R59" r:id="rId80" location="/forms/b823db9a3c794e3bbfb204540990c2c8" xr:uid="{7453B15F-8636-4645-BDD5-77656B5D798E}"/>
    <hyperlink ref="U31" r:id="rId81" location="/consoles/1d080c5b8c154825b446b267319a8288?tab=b96fe26a-1712-43b1-a86b-26e9f7b833b4" xr:uid="{4F88D594-9CB1-C345-A7C6-3660F2FCCF86}"/>
    <hyperlink ref="U33" r:id="rId82" location="/consoles/1d080c5b8c154825b446b267319a8288?tab=b96fe26a-1712-43b1-a86b-26e9f7b833b4" xr:uid="{6A5D3A8F-867C-164F-80F6-123174043E87}"/>
    <hyperlink ref="U34" r:id="rId83" location="/consoles/1d080c5b8c154825b446b267319a8288?tab=b96fe26a-1712-43b1-a86b-26e9f7b833b4" xr:uid="{FC34205B-0732-8942-8EBB-88C85F2A716E}"/>
    <hyperlink ref="R40" r:id="rId84" location="/forms/530fe4e5a09f42d0a96cef1b855a5241/preview" xr:uid="{56011E0A-B90F-D94C-90E7-E28374CCF01C}"/>
    <hyperlink ref="R41" r:id="rId85" location="/forms/530fe4e5a09f42d0a96cef1b855a5241/preview" xr:uid="{09A75FB8-BAFE-9B4D-B1C5-CEAFA97D9FA8}"/>
    <hyperlink ref="R43" r:id="rId86" location="/forms/530fe4e5a09f42d0a96cef1b855a5241/preview" xr:uid="{4456AB9D-68D8-0F4C-B524-D2158B50F6B5}"/>
    <hyperlink ref="R45" r:id="rId87" location="/forms/530fe4e5a09f42d0a96cef1b855a5241/preview" xr:uid="{FBADA45B-047C-0744-8BB5-FC8DEFED7388}"/>
    <hyperlink ref="R49" r:id="rId88" location="/forms/530fe4e5a09f42d0a96cef1b855a5241/preview" xr:uid="{5758BBEE-3AED-3246-A864-35836F3CFF82}"/>
    <hyperlink ref="R50" r:id="rId89" location="/forms/530fe4e5a09f42d0a96cef1b855a5241/preview" xr:uid="{F855D408-BDAA-E04E-8D9E-5259156884C4}"/>
    <hyperlink ref="U55" r:id="rId90" location="/consoles/1d080c5b8c154825b446b267319a8288?tab=b96fe26a-1712-43b1-a86b-26e9f7b833b4" xr:uid="{9DD43F18-3A17-7D43-BAEE-A4E89D778BDB}"/>
    <hyperlink ref="U57" r:id="rId91" location="/consoles/1d080c5b8c154825b446b267319a8288?tab=b96fe26a-1712-43b1-a86b-26e9f7b833b4" xr:uid="{3AB747B6-F314-DD46-9A1B-681B69ACEEF8}"/>
    <hyperlink ref="R60" r:id="rId92" location="/forms/802cd40b8ada491eae959778d70597bf" xr:uid="{3025697C-08C5-F640-81EF-1962E0A6DFD1}"/>
    <hyperlink ref="R62" r:id="rId93" location="/forms/802cd40b8ada491eae959778d70597bf" xr:uid="{CACBE4D2-1F84-E249-8006-DFEFC347684B}"/>
    <hyperlink ref="R64" r:id="rId94" location="/forms/802cd40b8ada491eae959778d70597bf" xr:uid="{B661C8A1-8629-5E46-B1EF-74C01578B5DF}"/>
    <hyperlink ref="R61" r:id="rId95" location="/forms/b823db9a3c794e3bbfb204540990c2c8" xr:uid="{227A0BCE-145E-0947-BD3B-F4E7000168CB}"/>
    <hyperlink ref="R63" r:id="rId96" location="/forms/b823db9a3c794e3bbfb204540990c2c8" xr:uid="{37D17F80-7E04-504E-B73F-B626611863B6}"/>
    <hyperlink ref="R65" r:id="rId97" location="/forms/b823db9a3c794e3bbfb204540990c2c8" xr:uid="{CA192B76-2A88-4E4A-8E04-5805680A1AC6}"/>
    <hyperlink ref="U67" r:id="rId98" location="/consoles/818a590d510e40728bc1e969aa98c0db?tab=e4139e54-32f5-49d7-872a-9c40004944f3" xr:uid="{139E2C7B-1BB8-8B44-86BB-7D3FFD5C2C09}"/>
    <hyperlink ref="U69" r:id="rId99" location="/consoles/818a590d510e40728bc1e969aa98c0db?tab=e4139e54-32f5-49d7-872a-9c40004944f3" xr:uid="{FB2D2E83-D1A2-2546-9711-3BFDFF60FC71}"/>
    <hyperlink ref="U70" r:id="rId100" location="/consoles/818a590d510e40728bc1e969aa98c0db?tab=e4139e54-32f5-49d7-872a-9c40004944f3" xr:uid="{D7863E4B-6465-3D4D-9E22-CB1A945D4626}"/>
    <hyperlink ref="U72" r:id="rId101" location="/consoles/1d080c5b8c154825b446b267319a8288?tab=b96fe26a-1712-43b1-a86b-26e9f7b833b4" xr:uid="{0202471B-E03E-9C47-A773-2BD666C71AA2}"/>
    <hyperlink ref="U73" r:id="rId102" location="/consoles/1d080c5b8c154825b446b267319a8288?tab=b96fe26a-1712-43b1-a86b-26e9f7b833b4" xr:uid="{1D0A7B72-8951-D948-9AE5-2C998EA719F1}"/>
    <hyperlink ref="U27" r:id="rId103" location="/consoles/1d080c5b8c154825b446b267319a8288?tab=b96fe26a-1712-43b1-a86b-26e9f7b833b4" xr:uid="{34CD45DB-A200-9144-8160-ADBB3FFA7FF6}"/>
    <hyperlink ref="A5" r:id="rId104" xr:uid="{E5D3ADFE-BE34-4BD7-98A0-7F7C7B1748B0}"/>
    <hyperlink ref="O52" r:id="rId105" location="/consoles/1d080c5b8c154825b446b267319a8288?tab=b96fe26a-1712-43b1-a86b-26e9f7b833b4" xr:uid="{2898C13F-9B1E-401E-A7F8-58F544DA74D8}"/>
    <hyperlink ref="R52" r:id="rId106" location="/forms/530fe4e5a09f42d0a96cef1b855a5241/preview" xr:uid="{CDB785ED-2182-4AF4-AFAA-E632554A40A1}"/>
    <hyperlink ref="K51" r:id="rId107" location="/forms/e045ce2509964909bed52a842b28dffd" xr:uid="{2F81D03E-6A63-4547-BD1E-93444BC2B464}"/>
    <hyperlink ref="O51" r:id="rId108" location="/consoles/1d080c5b8c154825b446b267319a8288?tab=b96fe26a-1712-43b1-a86b-26e9f7b833b4" xr:uid="{AE1AC5C4-6D0F-4D99-9D5A-02AB355E0260}"/>
    <hyperlink ref="R51" r:id="rId109" location="/forms/530fe4e5a09f42d0a96cef1b855a5241/preview" xr:uid="{A66BB6EE-12CD-4900-A744-AD159113A35F}"/>
    <hyperlink ref="O46" r:id="rId110" location="/consoles/1d080c5b8c154825b446b267319a8288?tab=b96fe26a-1712-43b1-a86b-26e9f7b833b4" xr:uid="{954E2A20-2B93-4E8A-99AC-5DF20B664A71}"/>
    <hyperlink ref="R46" r:id="rId111" location="/forms/530fe4e5a09f42d0a96cef1b855a5241/preview" xr:uid="{65D3F414-7EAB-4D9C-BC7E-A34F2D5E8BCA}"/>
    <hyperlink ref="O53" r:id="rId112" location="/consoles/1d080c5b8c154825b446b267319a8288?tab=b96fe26a-1712-43b1-a86b-26e9f7b833b4" xr:uid="{1C585307-B895-4C59-A146-EC475A93BDC3}"/>
    <hyperlink ref="R53" r:id="rId113" location="/forms/530fe4e5a09f42d0a96cef1b855a5241/preview" xr:uid="{41048D58-FB75-4E50-92B9-4E3EA628BCCA}"/>
    <hyperlink ref="K46" r:id="rId114" location="/forms/2bd65fbd2daf4064ac60694210797595" display="Rapid community assessment" xr:uid="{B4C3B5B3-4E17-4682-81AD-25F9D6EC10E7}"/>
    <hyperlink ref="K53" r:id="rId115" location="/forms/530fe4e5a09f42d0a96cef1b855a5241/preview" xr:uid="{AB00DD76-C689-43FB-AD1A-D1A898495966}"/>
    <hyperlink ref="K54" r:id="rId116" location="/forms/530fe4e5a09f42d0a96cef1b855a5241/preview" xr:uid="{F54B8AF8-83FF-4D7A-A8E3-351CECDD1507}"/>
    <hyperlink ref="K48" r:id="rId117" location="/forms/530fe4e5a09f42d0a96cef1b855a5241/preview" xr:uid="{6C50F133-BDF6-4713-AF1A-2C619FA06259}"/>
    <hyperlink ref="K47" r:id="rId118" location="/forms/530fe4e5a09f42d0a96cef1b855a5241/preview" xr:uid="{CBB2CA3A-43AB-44AB-8704-497EB975E363}"/>
    <hyperlink ref="K38" r:id="rId119" location="/forms/530fe4e5a09f42d0a96cef1b855a5241/preview" xr:uid="{7CC72F8C-62EA-483E-B7FE-D2D2E0EF89D2}"/>
    <hyperlink ref="K37" r:id="rId120" location="/forms/530fe4e5a09f42d0a96cef1b855a5241/preview" xr:uid="{6E8AC387-BB2C-4C08-8184-B22C3CEFB7DD}"/>
    <hyperlink ref="K49" r:id="rId121" location="/forms/530fe4e5a09f42d0a96cef1b855a5241/preview" xr:uid="{309BE163-38AA-4CD1-BF4C-43608DB8F42F}"/>
    <hyperlink ref="K57" r:id="rId122" location="/forms/e045ce2509964909bed52a842b28dffd" xr:uid="{EC45BEDA-6676-4769-91A2-B0669852C6EB}"/>
    <hyperlink ref="O28" r:id="rId123" location="/consoles/1d080c5b8c154825b446b267319a8288?tab=b96fe26a-1712-43b1-a86b-26e9f7b833b4" xr:uid="{A4A4D0D6-0BC2-4F8D-8F04-A0371CB49051}"/>
    <hyperlink ref="R28" r:id="rId124" location="/forms/530fe4e5a09f42d0a96cef1b855a5241/preview" display="HANWASH household audit" xr:uid="{46EA19E1-7163-46AA-8546-62D19EDD81C7}"/>
    <hyperlink ref="K39" r:id="rId125" location="/forms/fad15f51bbf44bb0bf9c36f08887c2dd" display="Water point survey (type &amp; functionality) + rapid community assessment (HH count)" xr:uid="{B97FD5C7-94CA-46CE-981C-1EECEB2AF056}"/>
    <hyperlink ref="O39" r:id="rId126" location="/consoles/1d080c5b8c154825b446b267319a8288?tab=b96fe26a-1712-43b1-a86b-26e9f7b833b4" xr:uid="{3E8203A7-CF42-47B8-A567-6A52CE5ED02E}"/>
    <hyperlink ref="R39" r:id="rId127" location="/forms/530fe4e5a09f42d0a96cef1b855a5241/preview" display="HANWASH household audit" xr:uid="{02F183C0-F767-4CD4-88BA-23A42267FBA4}"/>
    <hyperlink ref="K70" r:id="rId128" location="/tables/ts327/projects" xr:uid="{CD502AE9-57DA-4798-8E70-A7D4D7DB4003}"/>
    <hyperlink ref="K69" r:id="rId129" location="/tables/ts327/projects" xr:uid="{299EDBD5-3FAF-43D0-ADBA-D3A7C65E9A37}"/>
    <hyperlink ref="K67:K68" r:id="rId130" display="HANWASH project monitoring" xr:uid="{9AC0A88D-0993-4420-9274-7D763A1356A3}"/>
    <hyperlink ref="K71" r:id="rId131" location="/tables/ts109/t6" xr:uid="{D0B5F764-833D-4164-A756-09B8DB8FF925}"/>
    <hyperlink ref="O68" r:id="rId132" location="/consoles/818a590d510e40728bc1e969aa98c0db?tab=e4139e54-32f5-49d7-872a-9c40004944f3" xr:uid="{F19C4F90-4700-4578-B811-E79DB6F3919E}"/>
    <hyperlink ref="O67" r:id="rId133" location="/consoles/818a590d510e40728bc1e969aa98c0db?tab=e4139e54-32f5-49d7-872a-9c40004944f3" xr:uid="{B376AE42-04A9-48D8-8704-F677AFA39EEA}"/>
    <hyperlink ref="K32" r:id="rId134" location="/forms/d97abfe8b83843dcb03c5b1d72e01f93/preview" xr:uid="{F214CB25-CC13-401F-9CB8-5E5105B1BF82}"/>
    <hyperlink ref="O32" r:id="rId135" location="/consoles/1d080c5b8c154825b446b267319a8288?tab=b96fe26a-1712-43b1-a86b-26e9f7b833b4" xr:uid="{A8A05B38-7B23-4880-8AE3-89C077DA88A8}"/>
    <hyperlink ref="S32" r:id="rId136" location="/consoles/1d080c5b8c154825b446b267319a8288?tab=b96fe26a-1712-43b1-a86b-26e9f7b833b4" xr:uid="{ED6B07E5-ED09-4337-80DD-7302BA0908B6}"/>
    <hyperlink ref="K30" r:id="rId137" location="/forms/fad15f51bbf44bb0bf9c36f08887c2dd" display="Water point survey (type &amp; functionality) + rapid community assessment (HH count)" xr:uid="{6260F483-70C8-4E94-8897-1024CFA591B7}"/>
    <hyperlink ref="O30" r:id="rId138" location="/consoles/1d080c5b8c154825b446b267319a8288?tab=b96fe26a-1712-43b1-a86b-26e9f7b833b4" xr:uid="{ED6FE6B9-9AAB-4909-80C8-B4EBD3B338D1}"/>
    <hyperlink ref="P30" r:id="rId139" location="/forms/530fe4e5a09f42d0a96cef1b855a5241/preview" display="HANWASH household audit" xr:uid="{058353AF-5CE6-4A5E-8D97-4EF9203EEF7F}"/>
    <hyperlink ref="K23" r:id="rId140" location="/forms/76ba0885e88a4c20b8686aa9204acd30" xr:uid="{26D07D25-0212-426D-9FB3-AA3483ABC1BF}"/>
    <hyperlink ref="O23" r:id="rId141" location="/consoles/1d080c5b8c154825b446b267319a8288?tab=b96fe26a-1712-43b1-a86b-26e9f7b833b4" xr:uid="{9C5A871C-9A5A-4C5F-BD95-2C383DCBBD4C}"/>
    <hyperlink ref="K24" r:id="rId142" location="/forms/76ba0885e88a4c20b8686aa9204acd30" xr:uid="{F9C26D58-604D-43E6-975A-8B9315E54C01}"/>
    <hyperlink ref="O24" r:id="rId143" location="/consoles/1d080c5b8c154825b446b267319a8288?tab=b96fe26a-1712-43b1-a86b-26e9f7b833b4" xr:uid="{F30F6C2C-F509-4134-86C4-956A20CBEAE5}"/>
    <hyperlink ref="Q24" r:id="rId144" location="/consoles/1d080c5b8c154825b446b267319a8288?tab=b96fe26a-1712-43b1-a86b-26e9f7b833b4" xr:uid="{C987AEC0-61ED-4DF8-8F12-D349DB94FE10}"/>
    <hyperlink ref="K18" r:id="rId145" location="/forms/76ba0885e88a4c20b8686aa9204acd30" xr:uid="{35DA407E-DA49-40CA-9BCE-6404A0243A6D}"/>
    <hyperlink ref="O18" r:id="rId146" location="/consoles/1d080c5b8c154825b446b267319a8288?tab=b96fe26a-1712-43b1-a86b-26e9f7b833b4" xr:uid="{702574BC-33AA-46D3-A9DE-39C4490FCA77}"/>
    <hyperlink ref="K20" r:id="rId147" location="/forms/76ba0885e88a4c20b8686aa9204acd30" xr:uid="{723D9FF6-D4B9-4977-92A6-7228A7788BD0}"/>
    <hyperlink ref="O20" r:id="rId148" location="/consoles/1d080c5b8c154825b446b267319a8288?tab=b96fe26a-1712-43b1-a86b-26e9f7b833b4" xr:uid="{19A7C202-05EF-44EC-B67C-519FAA565584}"/>
    <hyperlink ref="K44" r:id="rId149" location="/forms/76ba0885e88a4c20b8686aa9204acd30" xr:uid="{B6B85919-26CA-4E9E-9139-8F356D7B7D6B}"/>
    <hyperlink ref="O44" r:id="rId150" location="/consoles/1d080c5b8c154825b446b267319a8288?tab=b96fe26a-1712-43b1-a86b-26e9f7b833b4" xr:uid="{63E93E13-76A5-4E53-B2B0-E58043A78BD8}"/>
    <hyperlink ref="P44" r:id="rId151" location="/forms/530fe4e5a09f42d0a96cef1b855a5241/preview" xr:uid="{DFF8AE2E-194A-4BA8-A731-19B471AF40A8}"/>
    <hyperlink ref="K56" r:id="rId152" location="/forms/76ba0885e88a4c20b8686aa9204acd30" xr:uid="{F722F10E-B926-4F24-B46D-DE4097D18052}"/>
    <hyperlink ref="O56" r:id="rId153" location="/consoles/1d080c5b8c154825b446b267319a8288?tab=b96fe26a-1712-43b1-a86b-26e9f7b833b4" xr:uid="{E18D8BE2-FA36-4A00-9809-0A7E069563F8}"/>
    <hyperlink ref="U56" r:id="rId154" location="/consoles/1d080c5b8c154825b446b267319a8288?tab=b96fe26a-1712-43b1-a86b-26e9f7b833b4" xr:uid="{71D29A2E-6510-4CAD-81E3-F3E8545F131A}"/>
    <hyperlink ref="K42" r:id="rId155" location="/forms/76ba0885e88a4c20b8686aa9204acd30" xr:uid="{765EE6D4-AA6F-430F-B453-87CFE2CD7FB8}"/>
    <hyperlink ref="O42" r:id="rId156" location="/consoles/1d080c5b8c154825b446b267319a8288?tab=b96fe26a-1712-43b1-a86b-26e9f7b833b4" xr:uid="{092B503A-E256-4403-BA52-990089633BD1}"/>
    <hyperlink ref="P42" r:id="rId157" location="/forms/530fe4e5a09f42d0a96cef1b855a5241/preview" xr:uid="{A510AF38-36A7-4DC0-B22E-179C840CAB47}"/>
  </hyperlinks>
  <pageMargins left="0.7" right="0.7" top="0.75" bottom="0.75" header="0.3" footer="0.3"/>
  <pageSetup fitToWidth="0" orientation="portrait"/>
  <legacyDrawing r:id="rId158"/>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8AA4F-A5AA-42CF-A2D1-32EC380EAC6A}">
  <sheetPr filterMode="1">
    <pageSetUpPr fitToPage="1"/>
  </sheetPr>
  <dimension ref="A1:AF57"/>
  <sheetViews>
    <sheetView topLeftCell="A2" zoomScale="88" zoomScaleNormal="88" workbookViewId="0">
      <selection activeCell="E7" sqref="E7"/>
    </sheetView>
  </sheetViews>
  <sheetFormatPr defaultColWidth="11" defaultRowHeight="15.75" customHeight="1"/>
  <cols>
    <col min="1" max="1" width="19.375" style="20" customWidth="1"/>
    <col min="2" max="2" width="7.375" style="7" customWidth="1"/>
    <col min="3" max="3" width="52.125" style="43" customWidth="1"/>
    <col min="4" max="4" width="12.75" style="8" bestFit="1" customWidth="1"/>
    <col min="5" max="5" width="71.125" style="7" customWidth="1"/>
    <col min="6" max="6" width="71.5" style="7" customWidth="1"/>
    <col min="7" max="7" width="17.625" customWidth="1"/>
    <col min="8" max="9" width="11.875" style="7" hidden="1" customWidth="1"/>
    <col min="10" max="10" width="18.625" style="20" customWidth="1"/>
    <col min="11" max="11" width="15" style="20" customWidth="1"/>
    <col min="12" max="12" width="12.25" style="20" customWidth="1"/>
    <col min="13" max="13" width="18.25" style="20" hidden="1" customWidth="1"/>
    <col min="14" max="14" width="18.625" style="20" customWidth="1"/>
    <col min="15" max="15" width="15.5" style="20" hidden="1" customWidth="1"/>
    <col min="16" max="17" width="26.625" hidden="1" customWidth="1"/>
    <col min="18" max="18" width="22.125" style="20" hidden="1" customWidth="1"/>
    <col min="19" max="19" width="21.125" style="20" customWidth="1"/>
    <col min="20" max="20" width="18.125" style="20" customWidth="1"/>
    <col min="21" max="21" width="20" style="20" hidden="1" customWidth="1"/>
    <col min="22" max="22" width="87" style="20" hidden="1" customWidth="1"/>
  </cols>
  <sheetData>
    <row r="1" spans="1:22" ht="15.6">
      <c r="A1" s="456" t="s">
        <v>173</v>
      </c>
      <c r="B1" s="456"/>
      <c r="C1" s="456"/>
      <c r="E1" s="74" t="s">
        <v>174</v>
      </c>
      <c r="F1" s="75"/>
      <c r="G1" s="75"/>
      <c r="H1" s="75"/>
      <c r="I1" s="75"/>
      <c r="J1" s="80"/>
      <c r="K1" s="80"/>
      <c r="L1" s="80"/>
      <c r="M1" s="80"/>
      <c r="N1" s="80"/>
      <c r="O1" s="80"/>
      <c r="P1" s="81"/>
      <c r="Q1" s="81"/>
      <c r="R1" s="80"/>
    </row>
    <row r="2" spans="1:22" ht="15.6">
      <c r="A2" s="457" t="s">
        <v>175</v>
      </c>
      <c r="B2" s="457"/>
      <c r="C2" s="457"/>
      <c r="E2" s="94" t="s">
        <v>176</v>
      </c>
      <c r="F2" s="77" t="str">
        <f>"'-' Not applicable"</f>
        <v>'-' Not applicable</v>
      </c>
    </row>
    <row r="3" spans="1:22" ht="15.95" thickBot="1">
      <c r="A3" s="456" t="s">
        <v>177</v>
      </c>
      <c r="B3" s="456"/>
      <c r="C3" s="456"/>
      <c r="E3" s="72"/>
      <c r="F3" s="73"/>
      <c r="G3" s="78"/>
      <c r="H3" s="73"/>
      <c r="I3" s="73"/>
      <c r="J3" s="79"/>
      <c r="K3" s="79"/>
      <c r="L3" s="79"/>
      <c r="M3" s="79"/>
      <c r="N3" s="79"/>
      <c r="O3" s="79"/>
      <c r="P3" s="78"/>
      <c r="Q3" s="78"/>
      <c r="R3" s="79"/>
      <c r="S3" s="79"/>
      <c r="T3" s="79"/>
    </row>
    <row r="4" spans="1:22" ht="15.6">
      <c r="A4" s="445" t="s">
        <v>178</v>
      </c>
      <c r="B4" s="445"/>
      <c r="C4" s="445"/>
      <c r="E4" s="76" t="s">
        <v>179</v>
      </c>
      <c r="F4" s="456" t="s">
        <v>9</v>
      </c>
      <c r="G4" s="456"/>
      <c r="H4" s="456"/>
      <c r="I4" s="456"/>
      <c r="J4" s="456"/>
      <c r="K4" s="458"/>
      <c r="L4" s="458"/>
      <c r="M4" s="458"/>
      <c r="N4" s="456"/>
      <c r="O4" s="458"/>
      <c r="P4" s="456"/>
      <c r="Q4" s="456"/>
      <c r="R4" s="458"/>
      <c r="S4" s="458"/>
      <c r="T4" s="458"/>
    </row>
    <row r="5" spans="1:22" ht="15.6">
      <c r="A5" s="455" t="s">
        <v>180</v>
      </c>
      <c r="B5" s="455"/>
      <c r="C5" s="455"/>
      <c r="E5" s="387" t="s">
        <v>10</v>
      </c>
      <c r="F5" s="445" t="s">
        <v>181</v>
      </c>
      <c r="G5" s="445"/>
      <c r="H5" s="445"/>
      <c r="I5" s="445"/>
      <c r="J5" s="445"/>
      <c r="K5" s="445"/>
      <c r="L5" s="445"/>
      <c r="M5" s="445"/>
      <c r="N5" s="445"/>
      <c r="O5" s="445"/>
      <c r="P5" s="445"/>
      <c r="Q5" s="445"/>
      <c r="R5" s="445"/>
      <c r="S5" s="445"/>
      <c r="T5" s="445"/>
    </row>
    <row r="6" spans="1:22" ht="15.6">
      <c r="A6" s="444" t="s">
        <v>182</v>
      </c>
      <c r="B6" s="445"/>
      <c r="C6" s="445"/>
      <c r="E6" s="388" t="s">
        <v>37</v>
      </c>
      <c r="F6" s="445" t="s">
        <v>183</v>
      </c>
      <c r="G6" s="445"/>
      <c r="H6" s="445"/>
      <c r="I6" s="445"/>
      <c r="J6" s="445"/>
      <c r="K6" s="446"/>
      <c r="L6" s="446"/>
      <c r="M6" s="446"/>
      <c r="N6" s="445"/>
      <c r="O6" s="446"/>
      <c r="P6" s="445"/>
      <c r="Q6" s="445"/>
      <c r="R6" s="446"/>
      <c r="S6" s="446"/>
      <c r="T6" s="446"/>
    </row>
    <row r="7" spans="1:22" ht="15.6">
      <c r="A7" s="444" t="s">
        <v>184</v>
      </c>
      <c r="B7" s="445"/>
      <c r="C7" s="445"/>
      <c r="E7" s="389" t="s">
        <v>40</v>
      </c>
      <c r="F7" s="445" t="s">
        <v>185</v>
      </c>
      <c r="G7" s="445"/>
      <c r="H7" s="445"/>
      <c r="I7" s="445"/>
      <c r="J7" s="445"/>
      <c r="K7" s="446"/>
      <c r="L7" s="446"/>
      <c r="M7" s="446"/>
      <c r="N7" s="445"/>
      <c r="O7" s="446"/>
      <c r="P7" s="445"/>
      <c r="Q7" s="445"/>
      <c r="R7" s="446"/>
      <c r="S7" s="446"/>
      <c r="T7" s="446"/>
    </row>
    <row r="8" spans="1:22" ht="38.25" customHeight="1">
      <c r="A8" s="447" t="s">
        <v>186</v>
      </c>
      <c r="B8" s="447"/>
      <c r="C8" s="447"/>
      <c r="E8" s="4" t="s">
        <v>187</v>
      </c>
      <c r="F8" s="448" t="s">
        <v>188</v>
      </c>
      <c r="G8" s="448"/>
      <c r="H8" s="448"/>
      <c r="I8" s="448"/>
      <c r="J8" s="448"/>
      <c r="K8" s="449"/>
      <c r="L8" s="449"/>
      <c r="M8" s="449"/>
      <c r="N8" s="448"/>
      <c r="O8" s="449"/>
      <c r="P8" s="448"/>
      <c r="Q8" s="448"/>
      <c r="R8" s="449"/>
      <c r="S8" s="449"/>
      <c r="T8" s="449"/>
    </row>
    <row r="9" spans="1:22" ht="15.75" customHeight="1" thickBot="1"/>
    <row r="10" spans="1:22" ht="15.95" customHeight="1">
      <c r="A10" s="450" t="s">
        <v>189</v>
      </c>
      <c r="B10" s="451"/>
      <c r="C10" s="451"/>
      <c r="D10" s="452" t="s">
        <v>28</v>
      </c>
      <c r="E10" s="452"/>
      <c r="F10" s="452"/>
      <c r="G10" s="452"/>
      <c r="H10" s="452"/>
      <c r="I10" s="452"/>
      <c r="J10" s="452"/>
      <c r="K10" s="452" t="s">
        <v>190</v>
      </c>
      <c r="L10" s="452"/>
      <c r="M10" s="452"/>
      <c r="N10" s="453"/>
      <c r="O10" s="452"/>
      <c r="P10" s="453" t="s">
        <v>191</v>
      </c>
      <c r="Q10" s="453"/>
      <c r="R10" s="452" t="s">
        <v>192</v>
      </c>
      <c r="S10" s="452"/>
      <c r="T10" s="452"/>
      <c r="U10" s="454"/>
      <c r="V10" s="442" t="s">
        <v>193</v>
      </c>
    </row>
    <row r="11" spans="1:22" ht="15.6">
      <c r="A11" s="355" t="s">
        <v>8</v>
      </c>
      <c r="B11" s="337" t="s">
        <v>194</v>
      </c>
      <c r="C11" s="337" t="s">
        <v>9</v>
      </c>
      <c r="D11" s="324" t="s">
        <v>195</v>
      </c>
      <c r="E11" s="338" t="s">
        <v>9</v>
      </c>
      <c r="F11" s="338" t="s">
        <v>29</v>
      </c>
      <c r="G11" s="324" t="s">
        <v>30</v>
      </c>
      <c r="H11" s="338" t="s">
        <v>196</v>
      </c>
      <c r="I11" s="338" t="s">
        <v>197</v>
      </c>
      <c r="J11" s="338" t="s">
        <v>198</v>
      </c>
      <c r="K11" s="324" t="s">
        <v>199</v>
      </c>
      <c r="L11" s="324" t="s">
        <v>200</v>
      </c>
      <c r="M11" s="324" t="s">
        <v>201</v>
      </c>
      <c r="N11" s="324" t="s">
        <v>202</v>
      </c>
      <c r="O11" s="324" t="s">
        <v>203</v>
      </c>
      <c r="P11" s="325" t="s">
        <v>204</v>
      </c>
      <c r="Q11" s="325" t="s">
        <v>190</v>
      </c>
      <c r="R11" s="324" t="s">
        <v>199</v>
      </c>
      <c r="S11" s="324" t="s">
        <v>205</v>
      </c>
      <c r="T11" s="324" t="s">
        <v>206</v>
      </c>
      <c r="U11" s="356" t="s">
        <v>203</v>
      </c>
      <c r="V11" s="443"/>
    </row>
    <row r="12" spans="1:22" ht="34.5" hidden="1" customHeight="1">
      <c r="A12" s="390" t="s">
        <v>10</v>
      </c>
      <c r="B12" s="391">
        <v>1</v>
      </c>
      <c r="C12" s="392" t="str">
        <f>'Log frame'!B13</f>
        <v>Increased access to safe, sustainable and affordable water, sanitation and hygiene (WASH) services in Haiti​.</v>
      </c>
      <c r="D12" s="392" t="s">
        <v>36</v>
      </c>
      <c r="E12" s="392" t="s">
        <v>36</v>
      </c>
      <c r="F12" s="392" t="s">
        <v>36</v>
      </c>
      <c r="G12" s="392" t="s">
        <v>36</v>
      </c>
      <c r="H12" s="326" t="s">
        <v>36</v>
      </c>
      <c r="I12" s="326" t="str">
        <f>"Mattson"</f>
        <v>Mattson</v>
      </c>
      <c r="J12" s="392" t="s">
        <v>36</v>
      </c>
      <c r="K12" s="392" t="s">
        <v>36</v>
      </c>
      <c r="L12" s="392" t="s">
        <v>36</v>
      </c>
      <c r="M12" s="326"/>
      <c r="N12" s="392" t="s">
        <v>36</v>
      </c>
      <c r="O12" s="326" t="s">
        <v>36</v>
      </c>
      <c r="P12" s="326" t="s">
        <v>36</v>
      </c>
      <c r="Q12" s="326" t="s">
        <v>36</v>
      </c>
      <c r="R12" s="326" t="s">
        <v>36</v>
      </c>
      <c r="S12" s="392" t="s">
        <v>36</v>
      </c>
      <c r="T12" s="392" t="s">
        <v>36</v>
      </c>
      <c r="U12" s="358" t="s">
        <v>36</v>
      </c>
      <c r="V12" s="136" t="s">
        <v>207</v>
      </c>
    </row>
    <row r="13" spans="1:22" ht="34.5" hidden="1" customHeight="1">
      <c r="A13" s="393" t="s">
        <v>37</v>
      </c>
      <c r="B13" s="394">
        <v>1000</v>
      </c>
      <c r="C13" s="395" t="str">
        <f>'Log frame'!B15</f>
        <v>Strengthened demand for and management of WASH services in communes.</v>
      </c>
      <c r="D13" s="395" t="s">
        <v>36</v>
      </c>
      <c r="E13" s="395" t="s">
        <v>36</v>
      </c>
      <c r="F13" s="395" t="s">
        <v>36</v>
      </c>
      <c r="G13" s="395" t="s">
        <v>36</v>
      </c>
      <c r="H13" s="326" t="s">
        <v>36</v>
      </c>
      <c r="I13" s="326" t="str">
        <f t="shared" ref="I13:I57" si="0">"Mattson"</f>
        <v>Mattson</v>
      </c>
      <c r="J13" s="395" t="s">
        <v>36</v>
      </c>
      <c r="K13" s="395" t="s">
        <v>36</v>
      </c>
      <c r="L13" s="395" t="s">
        <v>36</v>
      </c>
      <c r="M13" s="326"/>
      <c r="N13" s="395" t="s">
        <v>36</v>
      </c>
      <c r="O13" s="326" t="s">
        <v>36</v>
      </c>
      <c r="P13" s="326" t="s">
        <v>36</v>
      </c>
      <c r="Q13" s="326" t="s">
        <v>36</v>
      </c>
      <c r="R13" s="326" t="s">
        <v>36</v>
      </c>
      <c r="S13" s="395" t="s">
        <v>36</v>
      </c>
      <c r="T13" s="395" t="s">
        <v>36</v>
      </c>
      <c r="U13" s="358" t="s">
        <v>36</v>
      </c>
      <c r="V13" s="136" t="s">
        <v>207</v>
      </c>
    </row>
    <row r="14" spans="1:22" ht="34.5" hidden="1" customHeight="1">
      <c r="A14" s="399" t="s">
        <v>40</v>
      </c>
      <c r="B14" s="400">
        <v>1100</v>
      </c>
      <c r="C14" s="401" t="str">
        <f>'Log frame'!B17</f>
        <v>Increased civil society engagement in decision making and implementation of WASH services.</v>
      </c>
      <c r="D14" s="402" t="s">
        <v>39</v>
      </c>
      <c r="E14" s="401" t="s">
        <v>208</v>
      </c>
      <c r="F14" s="401" t="s">
        <v>42</v>
      </c>
      <c r="G14" s="401" t="s">
        <v>43</v>
      </c>
      <c r="H14" s="326" t="s">
        <v>209</v>
      </c>
      <c r="I14" s="326" t="str">
        <f t="shared" si="0"/>
        <v>Mattson</v>
      </c>
      <c r="J14" s="401" t="s">
        <v>210</v>
      </c>
      <c r="K14" s="403" t="s">
        <v>211</v>
      </c>
      <c r="L14" s="404" t="s">
        <v>212</v>
      </c>
      <c r="M14" s="341" t="s">
        <v>213</v>
      </c>
      <c r="N14" s="405" t="s">
        <v>214</v>
      </c>
      <c r="O14" s="333" t="s">
        <v>215</v>
      </c>
      <c r="P14" s="294"/>
      <c r="Q14" s="294"/>
      <c r="R14" s="341" t="s">
        <v>216</v>
      </c>
      <c r="S14" s="404" t="s">
        <v>217</v>
      </c>
      <c r="T14" s="404" t="s">
        <v>218</v>
      </c>
      <c r="U14" s="359" t="s">
        <v>215</v>
      </c>
      <c r="V14" s="334" t="s">
        <v>219</v>
      </c>
    </row>
    <row r="15" spans="1:22" ht="34.5" hidden="1" customHeight="1">
      <c r="A15" s="399" t="s">
        <v>40</v>
      </c>
      <c r="B15" s="400">
        <v>1100</v>
      </c>
      <c r="C15" s="401" t="s">
        <v>41</v>
      </c>
      <c r="D15" s="402" t="s">
        <v>44</v>
      </c>
      <c r="E15" s="401" t="s">
        <v>220</v>
      </c>
      <c r="F15" s="401" t="s">
        <v>45</v>
      </c>
      <c r="G15" s="401" t="s">
        <v>46</v>
      </c>
      <c r="H15" s="326" t="s">
        <v>221</v>
      </c>
      <c r="I15" s="326" t="s">
        <v>222</v>
      </c>
      <c r="J15" s="401" t="s">
        <v>210</v>
      </c>
      <c r="K15" s="403" t="s">
        <v>211</v>
      </c>
      <c r="L15" s="404" t="s">
        <v>212</v>
      </c>
      <c r="M15" s="341" t="s">
        <v>213</v>
      </c>
      <c r="N15" s="405" t="s">
        <v>214</v>
      </c>
      <c r="O15" s="333" t="s">
        <v>215</v>
      </c>
      <c r="P15" s="341" t="s">
        <v>223</v>
      </c>
      <c r="Q15" s="341" t="s">
        <v>217</v>
      </c>
      <c r="R15" s="341" t="s">
        <v>224</v>
      </c>
      <c r="S15" s="404" t="s">
        <v>217</v>
      </c>
      <c r="T15" s="404" t="s">
        <v>218</v>
      </c>
      <c r="U15" s="360" t="s">
        <v>215</v>
      </c>
      <c r="V15" s="335"/>
    </row>
    <row r="16" spans="1:22" ht="48.6" hidden="1" customHeight="1">
      <c r="A16" s="357" t="s">
        <v>16</v>
      </c>
      <c r="B16" s="339">
        <v>1110</v>
      </c>
      <c r="C16" s="342" t="s">
        <v>48</v>
      </c>
      <c r="D16" s="340" t="s">
        <v>47</v>
      </c>
      <c r="E16" s="326" t="s">
        <v>225</v>
      </c>
      <c r="F16" s="326" t="s">
        <v>49</v>
      </c>
      <c r="G16" s="330" t="s">
        <v>50</v>
      </c>
      <c r="H16" s="326" t="s">
        <v>209</v>
      </c>
      <c r="I16" s="326" t="str">
        <f t="shared" si="0"/>
        <v>Mattson</v>
      </c>
      <c r="J16" s="326" t="s">
        <v>210</v>
      </c>
      <c r="K16" s="333" t="s">
        <v>211</v>
      </c>
      <c r="L16" s="343" t="s">
        <v>212</v>
      </c>
      <c r="M16" s="343" t="s">
        <v>213</v>
      </c>
      <c r="N16" s="330" t="s">
        <v>214</v>
      </c>
      <c r="O16" s="333" t="s">
        <v>215</v>
      </c>
      <c r="P16" s="294"/>
      <c r="Q16" s="294"/>
      <c r="R16" s="329" t="s">
        <v>223</v>
      </c>
      <c r="S16" s="341" t="s">
        <v>217</v>
      </c>
      <c r="T16" s="341" t="s">
        <v>218</v>
      </c>
      <c r="U16" s="359" t="s">
        <v>215</v>
      </c>
      <c r="V16" s="336" t="s">
        <v>219</v>
      </c>
    </row>
    <row r="17" spans="1:22" ht="34.5" customHeight="1">
      <c r="A17" s="399" t="s">
        <v>40</v>
      </c>
      <c r="B17" s="401">
        <v>1200</v>
      </c>
      <c r="C17" s="402" t="str">
        <f>'Log frame'!C17</f>
        <v>Improved commune WASH planning and coordination by local authorities.​</v>
      </c>
      <c r="D17" s="402" t="s">
        <v>51</v>
      </c>
      <c r="E17" s="401" t="s">
        <v>226</v>
      </c>
      <c r="F17" s="401" t="s">
        <v>53</v>
      </c>
      <c r="G17" s="401" t="s">
        <v>54</v>
      </c>
      <c r="H17" s="339" t="s">
        <v>227</v>
      </c>
      <c r="I17" s="339" t="str">
        <f t="shared" si="0"/>
        <v>Mattson</v>
      </c>
      <c r="J17" s="401" t="s">
        <v>228</v>
      </c>
      <c r="K17" s="403" t="s">
        <v>229</v>
      </c>
      <c r="L17" s="405" t="s">
        <v>230</v>
      </c>
      <c r="M17" s="330" t="s">
        <v>213</v>
      </c>
      <c r="N17" s="401" t="s">
        <v>218</v>
      </c>
      <c r="O17" s="333" t="s">
        <v>231</v>
      </c>
      <c r="P17" s="344" t="s">
        <v>232</v>
      </c>
      <c r="Q17" s="294" t="s">
        <v>233</v>
      </c>
      <c r="R17" s="294" t="s">
        <v>223</v>
      </c>
      <c r="S17" s="404" t="s">
        <v>217</v>
      </c>
      <c r="T17" s="404" t="s">
        <v>218</v>
      </c>
      <c r="U17" s="359" t="s">
        <v>231</v>
      </c>
      <c r="V17" s="320" t="s">
        <v>234</v>
      </c>
    </row>
    <row r="18" spans="1:22" ht="34.5" customHeight="1">
      <c r="A18" s="357" t="s">
        <v>16</v>
      </c>
      <c r="B18" s="339">
        <v>1210</v>
      </c>
      <c r="C18" s="345" t="str">
        <f>'Log frame'!C19</f>
        <v>Create or improve commune action plans that focus on water, sanitation and hygiene, and water resource management.​</v>
      </c>
      <c r="D18" s="340" t="s">
        <v>55</v>
      </c>
      <c r="E18" s="346" t="s">
        <v>235</v>
      </c>
      <c r="F18" s="326" t="s">
        <v>57</v>
      </c>
      <c r="G18" s="330" t="s">
        <v>58</v>
      </c>
      <c r="H18" s="339" t="s">
        <v>227</v>
      </c>
      <c r="I18" s="339" t="str">
        <f t="shared" si="0"/>
        <v>Mattson</v>
      </c>
      <c r="J18" s="326" t="s">
        <v>228</v>
      </c>
      <c r="K18" s="347" t="s">
        <v>229</v>
      </c>
      <c r="L18" s="330" t="s">
        <v>230</v>
      </c>
      <c r="M18" s="330" t="s">
        <v>213</v>
      </c>
      <c r="N18" s="326" t="s">
        <v>236</v>
      </c>
      <c r="O18" s="333" t="s">
        <v>231</v>
      </c>
      <c r="P18" s="294"/>
      <c r="Q18" s="294"/>
      <c r="R18" s="329" t="s">
        <v>223</v>
      </c>
      <c r="S18" s="341" t="s">
        <v>217</v>
      </c>
      <c r="T18" s="341" t="s">
        <v>236</v>
      </c>
      <c r="U18" s="359" t="s">
        <v>231</v>
      </c>
      <c r="V18" s="198" t="s">
        <v>237</v>
      </c>
    </row>
    <row r="19" spans="1:22" ht="34.5" customHeight="1">
      <c r="A19" s="357" t="s">
        <v>16</v>
      </c>
      <c r="B19" s="339">
        <v>1220</v>
      </c>
      <c r="C19" s="326" t="str">
        <f>'Log frame'!C21</f>
        <v>Facilitate coordination meetings between commune WASH stakeholders.</v>
      </c>
      <c r="D19" s="340" t="s">
        <v>59</v>
      </c>
      <c r="E19" s="326" t="s">
        <v>238</v>
      </c>
      <c r="F19" s="326" t="s">
        <v>61</v>
      </c>
      <c r="G19" s="330" t="s">
        <v>62</v>
      </c>
      <c r="H19" s="348" t="s">
        <v>209</v>
      </c>
      <c r="I19" s="348" t="str">
        <f t="shared" si="0"/>
        <v>Mattson</v>
      </c>
      <c r="J19" s="326" t="s">
        <v>210</v>
      </c>
      <c r="K19" s="333" t="s">
        <v>211</v>
      </c>
      <c r="L19" s="330" t="s">
        <v>239</v>
      </c>
      <c r="M19" s="330" t="s">
        <v>213</v>
      </c>
      <c r="N19" s="330" t="s">
        <v>214</v>
      </c>
      <c r="O19" s="333" t="s">
        <v>215</v>
      </c>
      <c r="P19" s="349"/>
      <c r="Q19" s="349"/>
      <c r="R19" s="329" t="s">
        <v>223</v>
      </c>
      <c r="S19" s="341" t="s">
        <v>217</v>
      </c>
      <c r="T19" s="341" t="s">
        <v>218</v>
      </c>
      <c r="U19" s="359" t="s">
        <v>215</v>
      </c>
      <c r="V19" s="198" t="s">
        <v>240</v>
      </c>
    </row>
    <row r="20" spans="1:22" ht="34.5" hidden="1" customHeight="1">
      <c r="A20" s="399" t="s">
        <v>40</v>
      </c>
      <c r="B20" s="405">
        <v>1300</v>
      </c>
      <c r="C20" s="405" t="str">
        <f>'Log frame'!D17</f>
        <v>Improved accountability of service providers to users of WASH services.​</v>
      </c>
      <c r="D20" s="402" t="s">
        <v>63</v>
      </c>
      <c r="E20" s="405" t="s">
        <v>241</v>
      </c>
      <c r="F20" s="401" t="s">
        <v>65</v>
      </c>
      <c r="G20" s="405" t="s">
        <v>66</v>
      </c>
      <c r="H20" s="330" t="s">
        <v>227</v>
      </c>
      <c r="I20" s="330" t="s">
        <v>222</v>
      </c>
      <c r="J20" s="405" t="s">
        <v>242</v>
      </c>
      <c r="K20" s="406" t="s">
        <v>243</v>
      </c>
      <c r="L20" s="405" t="s">
        <v>244</v>
      </c>
      <c r="M20" s="330" t="s">
        <v>213</v>
      </c>
      <c r="N20" s="407" t="s">
        <v>214</v>
      </c>
      <c r="O20" s="350" t="s">
        <v>215</v>
      </c>
      <c r="P20" s="330"/>
      <c r="Q20" s="330"/>
      <c r="R20" s="350" t="s">
        <v>245</v>
      </c>
      <c r="S20" s="405" t="s">
        <v>246</v>
      </c>
      <c r="T20" s="405" t="s">
        <v>218</v>
      </c>
      <c r="U20" s="361" t="s">
        <v>247</v>
      </c>
      <c r="V20" s="328" t="s">
        <v>248</v>
      </c>
    </row>
    <row r="21" spans="1:22" ht="34.5" customHeight="1">
      <c r="A21" s="399" t="s">
        <v>40</v>
      </c>
      <c r="B21" s="405">
        <v>1300</v>
      </c>
      <c r="C21" s="405" t="str">
        <f>'Log frame'!D17</f>
        <v>Improved accountability of service providers to users of WASH services.​</v>
      </c>
      <c r="D21" s="402" t="s">
        <v>67</v>
      </c>
      <c r="E21" s="405" t="s">
        <v>249</v>
      </c>
      <c r="F21" s="402" t="s">
        <v>68</v>
      </c>
      <c r="G21" s="405" t="s">
        <v>69</v>
      </c>
      <c r="H21" s="330" t="s">
        <v>227</v>
      </c>
      <c r="I21" s="330" t="str">
        <f t="shared" si="0"/>
        <v>Mattson</v>
      </c>
      <c r="J21" s="405" t="s">
        <v>250</v>
      </c>
      <c r="K21" s="406" t="s">
        <v>251</v>
      </c>
      <c r="L21" s="405" t="s">
        <v>252</v>
      </c>
      <c r="M21" s="330" t="s">
        <v>213</v>
      </c>
      <c r="N21" s="405" t="s">
        <v>236</v>
      </c>
      <c r="O21" s="350" t="s">
        <v>215</v>
      </c>
      <c r="P21" s="330" t="s">
        <v>253</v>
      </c>
      <c r="Q21" s="330"/>
      <c r="R21" s="350" t="s">
        <v>245</v>
      </c>
      <c r="S21" s="405" t="s">
        <v>246</v>
      </c>
      <c r="T21" s="405" t="s">
        <v>236</v>
      </c>
      <c r="U21" s="361" t="s">
        <v>247</v>
      </c>
      <c r="V21" s="332" t="s">
        <v>248</v>
      </c>
    </row>
    <row r="22" spans="1:22" ht="34.5" hidden="1" customHeight="1">
      <c r="A22" s="399" t="s">
        <v>40</v>
      </c>
      <c r="B22" s="405">
        <v>1300</v>
      </c>
      <c r="C22" s="405" t="s">
        <v>64</v>
      </c>
      <c r="D22" s="402" t="s">
        <v>70</v>
      </c>
      <c r="E22" s="405" t="s">
        <v>254</v>
      </c>
      <c r="F22" s="405" t="s">
        <v>71</v>
      </c>
      <c r="G22" s="405" t="s">
        <v>72</v>
      </c>
      <c r="H22" s="330" t="s">
        <v>221</v>
      </c>
      <c r="I22" s="330" t="s">
        <v>222</v>
      </c>
      <c r="J22" s="405" t="s">
        <v>255</v>
      </c>
      <c r="K22" s="406" t="s">
        <v>256</v>
      </c>
      <c r="L22" s="405" t="s">
        <v>257</v>
      </c>
      <c r="M22" s="330" t="s">
        <v>258</v>
      </c>
      <c r="N22" s="405" t="s">
        <v>236</v>
      </c>
      <c r="O22" s="350" t="s">
        <v>215</v>
      </c>
      <c r="P22" s="350" t="s">
        <v>245</v>
      </c>
      <c r="Q22" s="330" t="s">
        <v>259</v>
      </c>
      <c r="R22" s="330" t="s">
        <v>260</v>
      </c>
      <c r="S22" s="405" t="s">
        <v>246</v>
      </c>
      <c r="T22" s="405" t="s">
        <v>236</v>
      </c>
      <c r="U22" s="360" t="s">
        <v>215</v>
      </c>
      <c r="V22" s="335"/>
    </row>
    <row r="23" spans="1:22" ht="34.5" hidden="1" customHeight="1">
      <c r="A23" s="357" t="s">
        <v>16</v>
      </c>
      <c r="B23" s="339">
        <v>1310</v>
      </c>
      <c r="C23" s="351" t="str">
        <f>'Log frame'!D19</f>
        <v>Monitor WASH service performance and satisfaction.</v>
      </c>
      <c r="D23" s="340" t="s">
        <v>73</v>
      </c>
      <c r="E23" s="326" t="s">
        <v>261</v>
      </c>
      <c r="F23" s="340" t="s">
        <v>75</v>
      </c>
      <c r="G23" s="352" t="s">
        <v>76</v>
      </c>
      <c r="H23" s="348" t="s">
        <v>221</v>
      </c>
      <c r="I23" s="348" t="str">
        <f t="shared" si="0"/>
        <v>Mattson</v>
      </c>
      <c r="J23" s="326" t="s">
        <v>262</v>
      </c>
      <c r="K23" s="333" t="s">
        <v>263</v>
      </c>
      <c r="L23" s="330" t="s">
        <v>264</v>
      </c>
      <c r="M23" s="330" t="s">
        <v>213</v>
      </c>
      <c r="N23" s="330" t="s">
        <v>214</v>
      </c>
      <c r="O23" s="333" t="s">
        <v>215</v>
      </c>
      <c r="P23" s="294"/>
      <c r="Q23" s="294"/>
      <c r="R23" s="329" t="s">
        <v>223</v>
      </c>
      <c r="S23" s="341" t="s">
        <v>246</v>
      </c>
      <c r="T23" s="341" t="s">
        <v>218</v>
      </c>
      <c r="U23" s="359" t="s">
        <v>215</v>
      </c>
      <c r="V23" s="327" t="s">
        <v>240</v>
      </c>
    </row>
    <row r="24" spans="1:22" ht="34.5" hidden="1" customHeight="1">
      <c r="A24" s="357" t="s">
        <v>16</v>
      </c>
      <c r="B24" s="339">
        <v>1310</v>
      </c>
      <c r="C24" s="351" t="str">
        <f>C23</f>
        <v>Monitor WASH service performance and satisfaction.</v>
      </c>
      <c r="D24" s="340" t="s">
        <v>77</v>
      </c>
      <c r="E24" s="326" t="s">
        <v>265</v>
      </c>
      <c r="F24" s="340" t="s">
        <v>78</v>
      </c>
      <c r="G24" s="352" t="s">
        <v>76</v>
      </c>
      <c r="H24" s="348" t="s">
        <v>221</v>
      </c>
      <c r="I24" s="348" t="str">
        <f t="shared" si="0"/>
        <v>Mattson</v>
      </c>
      <c r="J24" s="326" t="s">
        <v>262</v>
      </c>
      <c r="K24" s="333" t="s">
        <v>263</v>
      </c>
      <c r="L24" s="330" t="s">
        <v>264</v>
      </c>
      <c r="M24" s="330" t="s">
        <v>213</v>
      </c>
      <c r="N24" s="330" t="s">
        <v>214</v>
      </c>
      <c r="O24" s="333" t="s">
        <v>215</v>
      </c>
      <c r="P24" s="294"/>
      <c r="Q24" s="294"/>
      <c r="R24" s="329" t="s">
        <v>223</v>
      </c>
      <c r="S24" s="341" t="s">
        <v>246</v>
      </c>
      <c r="T24" s="341" t="s">
        <v>218</v>
      </c>
      <c r="U24" s="359" t="s">
        <v>215</v>
      </c>
      <c r="V24" s="327" t="s">
        <v>240</v>
      </c>
    </row>
    <row r="25" spans="1:22" ht="46.5" hidden="1">
      <c r="A25" s="357" t="s">
        <v>16</v>
      </c>
      <c r="B25" s="339">
        <v>1310</v>
      </c>
      <c r="C25" s="351" t="str">
        <f>C24</f>
        <v>Monitor WASH service performance and satisfaction.</v>
      </c>
      <c r="D25" s="340" t="s">
        <v>79</v>
      </c>
      <c r="E25" s="326" t="s">
        <v>266</v>
      </c>
      <c r="F25" s="340" t="s">
        <v>80</v>
      </c>
      <c r="G25" s="330" t="s">
        <v>81</v>
      </c>
      <c r="H25" s="348"/>
      <c r="I25" s="348"/>
      <c r="J25" s="326"/>
      <c r="K25" s="333" t="s">
        <v>267</v>
      </c>
      <c r="L25" s="330" t="s">
        <v>244</v>
      </c>
      <c r="M25" s="330"/>
      <c r="N25" s="330" t="s">
        <v>268</v>
      </c>
      <c r="O25" s="333"/>
      <c r="P25" s="294"/>
      <c r="Q25" s="294"/>
      <c r="R25" s="329" t="s">
        <v>269</v>
      </c>
      <c r="S25" s="341" t="s">
        <v>270</v>
      </c>
      <c r="T25" s="341" t="s">
        <v>218</v>
      </c>
      <c r="U25" s="359"/>
      <c r="V25" s="327"/>
    </row>
    <row r="26" spans="1:22" ht="62.1" hidden="1">
      <c r="A26" s="357" t="s">
        <v>16</v>
      </c>
      <c r="B26" s="339">
        <v>1310</v>
      </c>
      <c r="C26" s="351" t="str">
        <f>C25</f>
        <v>Monitor WASH service performance and satisfaction.</v>
      </c>
      <c r="D26" s="340" t="s">
        <v>82</v>
      </c>
      <c r="E26" s="326" t="s">
        <v>271</v>
      </c>
      <c r="F26" s="340" t="s">
        <v>83</v>
      </c>
      <c r="G26" s="330" t="s">
        <v>84</v>
      </c>
      <c r="H26" s="348"/>
      <c r="I26" s="348"/>
      <c r="J26" s="326" t="s">
        <v>272</v>
      </c>
      <c r="K26" s="333" t="s">
        <v>263</v>
      </c>
      <c r="L26" s="330" t="s">
        <v>257</v>
      </c>
      <c r="M26" s="330" t="s">
        <v>213</v>
      </c>
      <c r="N26" s="330" t="s">
        <v>214</v>
      </c>
      <c r="O26" s="333"/>
      <c r="P26" s="294"/>
      <c r="Q26" s="294"/>
      <c r="R26" s="329"/>
      <c r="S26" s="341" t="s">
        <v>246</v>
      </c>
      <c r="T26" s="341" t="s">
        <v>218</v>
      </c>
      <c r="U26" s="359"/>
      <c r="V26" s="327"/>
    </row>
    <row r="27" spans="1:22" ht="99" customHeight="1">
      <c r="A27" s="357" t="s">
        <v>16</v>
      </c>
      <c r="B27" s="339">
        <v>1320</v>
      </c>
      <c r="C27" s="351" t="str">
        <f>'Log frame'!D21</f>
        <v>Review service provider performance with stakeholders.</v>
      </c>
      <c r="D27" s="340" t="s">
        <v>85</v>
      </c>
      <c r="E27" s="326" t="s">
        <v>273</v>
      </c>
      <c r="F27" s="340" t="s">
        <v>87</v>
      </c>
      <c r="G27" s="352" t="s">
        <v>58</v>
      </c>
      <c r="H27" s="326" t="s">
        <v>227</v>
      </c>
      <c r="I27" s="326" t="str">
        <f t="shared" si="0"/>
        <v>Mattson</v>
      </c>
      <c r="J27" s="326" t="s">
        <v>262</v>
      </c>
      <c r="K27" s="349" t="s">
        <v>274</v>
      </c>
      <c r="L27" s="330" t="s">
        <v>275</v>
      </c>
      <c r="M27" s="352" t="s">
        <v>213</v>
      </c>
      <c r="N27" s="330" t="s">
        <v>236</v>
      </c>
      <c r="O27" s="333" t="s">
        <v>215</v>
      </c>
      <c r="P27" s="294"/>
      <c r="Q27" s="294"/>
      <c r="R27" s="294" t="s">
        <v>36</v>
      </c>
      <c r="S27" s="341" t="s">
        <v>246</v>
      </c>
      <c r="T27" s="294" t="s">
        <v>236</v>
      </c>
      <c r="U27" s="359" t="s">
        <v>215</v>
      </c>
      <c r="V27" s="198" t="s">
        <v>240</v>
      </c>
    </row>
    <row r="28" spans="1:22" ht="34.5" hidden="1" customHeight="1">
      <c r="A28" s="393" t="s">
        <v>37</v>
      </c>
      <c r="B28" s="394">
        <v>2000</v>
      </c>
      <c r="C28" s="396" t="str">
        <f>'Log frame'!E15</f>
        <v>Enhanced household access to and use of sustainable, affordable, and safe water, sanitation and hygiene services.​</v>
      </c>
      <c r="D28" s="397" t="s">
        <v>36</v>
      </c>
      <c r="E28" s="395" t="s">
        <v>36</v>
      </c>
      <c r="F28" s="395" t="s">
        <v>36</v>
      </c>
      <c r="G28" s="395" t="s">
        <v>36</v>
      </c>
      <c r="H28" s="326" t="s">
        <v>36</v>
      </c>
      <c r="I28" s="326" t="str">
        <f t="shared" si="0"/>
        <v>Mattson</v>
      </c>
      <c r="J28" s="395" t="s">
        <v>36</v>
      </c>
      <c r="K28" s="395" t="s">
        <v>36</v>
      </c>
      <c r="L28" s="395" t="s">
        <v>36</v>
      </c>
      <c r="M28" s="326"/>
      <c r="N28" s="395" t="s">
        <v>36</v>
      </c>
      <c r="O28" s="326" t="s">
        <v>36</v>
      </c>
      <c r="P28" s="326" t="s">
        <v>36</v>
      </c>
      <c r="Q28" s="326" t="s">
        <v>36</v>
      </c>
      <c r="R28" s="326" t="s">
        <v>36</v>
      </c>
      <c r="S28" s="395" t="s">
        <v>36</v>
      </c>
      <c r="T28" s="395" t="s">
        <v>36</v>
      </c>
      <c r="U28" s="358" t="s">
        <v>36</v>
      </c>
      <c r="V28" s="136" t="s">
        <v>207</v>
      </c>
    </row>
    <row r="29" spans="1:22" ht="34.5" hidden="1" customHeight="1">
      <c r="A29" s="399" t="s">
        <v>40</v>
      </c>
      <c r="B29" s="401">
        <v>2100</v>
      </c>
      <c r="C29" s="408" t="str">
        <f>'Log frame'!E17</f>
        <v>Increased household access to sustainable, affordable, and safe drinking water services.​</v>
      </c>
      <c r="D29" s="402" t="s">
        <v>89</v>
      </c>
      <c r="E29" s="401" t="s">
        <v>276</v>
      </c>
      <c r="F29" s="402" t="s">
        <v>91</v>
      </c>
      <c r="G29" s="409" t="s">
        <v>92</v>
      </c>
      <c r="H29" s="348" t="s">
        <v>209</v>
      </c>
      <c r="I29" s="348" t="str">
        <f t="shared" si="0"/>
        <v>Mattson</v>
      </c>
      <c r="J29" s="401" t="s">
        <v>277</v>
      </c>
      <c r="K29" s="410" t="s">
        <v>278</v>
      </c>
      <c r="L29" s="405" t="s">
        <v>279</v>
      </c>
      <c r="M29" s="330" t="s">
        <v>258</v>
      </c>
      <c r="N29" s="405" t="s">
        <v>236</v>
      </c>
      <c r="O29" s="333" t="s">
        <v>215</v>
      </c>
      <c r="P29" s="294"/>
      <c r="Q29" s="294"/>
      <c r="R29" s="331" t="s">
        <v>280</v>
      </c>
      <c r="S29" s="404" t="s">
        <v>246</v>
      </c>
      <c r="T29" s="404" t="s">
        <v>236</v>
      </c>
      <c r="U29" s="362" t="s">
        <v>247</v>
      </c>
      <c r="V29" s="198" t="s">
        <v>281</v>
      </c>
    </row>
    <row r="30" spans="1:22" ht="34.5" hidden="1" customHeight="1">
      <c r="A30" s="399" t="s">
        <v>40</v>
      </c>
      <c r="B30" s="401">
        <v>2100</v>
      </c>
      <c r="C30" s="408" t="str">
        <f>'Log frame'!E17</f>
        <v>Increased household access to sustainable, affordable, and safe drinking water services.​</v>
      </c>
      <c r="D30" s="402" t="s">
        <v>93</v>
      </c>
      <c r="E30" s="401" t="s">
        <v>282</v>
      </c>
      <c r="F30" s="402" t="s">
        <v>94</v>
      </c>
      <c r="G30" s="409" t="s">
        <v>92</v>
      </c>
      <c r="H30" s="348" t="s">
        <v>209</v>
      </c>
      <c r="I30" s="348" t="str">
        <f t="shared" si="0"/>
        <v>Mattson</v>
      </c>
      <c r="J30" s="401" t="s">
        <v>283</v>
      </c>
      <c r="K30" s="410" t="s">
        <v>278</v>
      </c>
      <c r="L30" s="405" t="s">
        <v>279</v>
      </c>
      <c r="M30" s="330" t="s">
        <v>258</v>
      </c>
      <c r="N30" s="405" t="s">
        <v>236</v>
      </c>
      <c r="O30" s="333" t="s">
        <v>215</v>
      </c>
      <c r="P30" s="294"/>
      <c r="Q30" s="294"/>
      <c r="R30" s="331" t="s">
        <v>280</v>
      </c>
      <c r="S30" s="404" t="s">
        <v>246</v>
      </c>
      <c r="T30" s="404" t="s">
        <v>236</v>
      </c>
      <c r="U30" s="362" t="s">
        <v>247</v>
      </c>
      <c r="V30" s="198" t="s">
        <v>281</v>
      </c>
    </row>
    <row r="31" spans="1:22" ht="34.5" hidden="1" customHeight="1">
      <c r="A31" s="399" t="s">
        <v>40</v>
      </c>
      <c r="B31" s="401">
        <v>2100</v>
      </c>
      <c r="C31" s="408" t="str">
        <f>'Log frame'!E17</f>
        <v>Increased household access to sustainable, affordable, and safe drinking water services.​</v>
      </c>
      <c r="D31" s="402" t="s">
        <v>95</v>
      </c>
      <c r="E31" s="402" t="s">
        <v>284</v>
      </c>
      <c r="F31" s="402" t="s">
        <v>96</v>
      </c>
      <c r="G31" s="401" t="s">
        <v>69</v>
      </c>
      <c r="H31" s="348" t="s">
        <v>227</v>
      </c>
      <c r="I31" s="348" t="str">
        <f t="shared" si="0"/>
        <v>Mattson</v>
      </c>
      <c r="J31" s="407" t="s">
        <v>228</v>
      </c>
      <c r="K31" s="403" t="s">
        <v>253</v>
      </c>
      <c r="L31" s="407" t="s">
        <v>279</v>
      </c>
      <c r="M31" s="348" t="s">
        <v>258</v>
      </c>
      <c r="N31" s="405" t="s">
        <v>218</v>
      </c>
      <c r="O31" s="333" t="s">
        <v>215</v>
      </c>
      <c r="P31" s="348"/>
      <c r="Q31" s="348"/>
      <c r="R31" s="350" t="s">
        <v>245</v>
      </c>
      <c r="S31" s="404" t="s">
        <v>246</v>
      </c>
      <c r="T31" s="404" t="s">
        <v>236</v>
      </c>
      <c r="U31" s="362" t="s">
        <v>247</v>
      </c>
      <c r="V31" s="328" t="s">
        <v>248</v>
      </c>
    </row>
    <row r="32" spans="1:22" ht="34.5" hidden="1" customHeight="1">
      <c r="A32" s="357" t="s">
        <v>16</v>
      </c>
      <c r="B32" s="326">
        <v>2110</v>
      </c>
      <c r="C32" s="345" t="str">
        <f>'Log frame'!E19</f>
        <v xml:space="preserve">Develop community managed water points. </v>
      </c>
      <c r="D32" s="340" t="s">
        <v>97</v>
      </c>
      <c r="E32" s="326" t="s">
        <v>285</v>
      </c>
      <c r="F32" s="340" t="s">
        <v>99</v>
      </c>
      <c r="G32" s="352" t="s">
        <v>100</v>
      </c>
      <c r="H32" s="348" t="s">
        <v>209</v>
      </c>
      <c r="I32" s="348" t="str">
        <f t="shared" si="0"/>
        <v>Mattson</v>
      </c>
      <c r="J32" s="353" t="s">
        <v>286</v>
      </c>
      <c r="K32" s="333" t="s">
        <v>253</v>
      </c>
      <c r="L32" s="330" t="s">
        <v>279</v>
      </c>
      <c r="M32" s="330" t="s">
        <v>258</v>
      </c>
      <c r="N32" s="330" t="s">
        <v>218</v>
      </c>
      <c r="O32" s="333" t="s">
        <v>215</v>
      </c>
      <c r="P32" s="294"/>
      <c r="Q32" s="294"/>
      <c r="R32" s="331" t="s">
        <v>280</v>
      </c>
      <c r="S32" s="341" t="s">
        <v>217</v>
      </c>
      <c r="T32" s="341" t="s">
        <v>218</v>
      </c>
      <c r="U32" s="362" t="s">
        <v>247</v>
      </c>
      <c r="V32" s="198" t="s">
        <v>281</v>
      </c>
    </row>
    <row r="33" spans="1:22" ht="34.5" hidden="1" customHeight="1">
      <c r="A33" s="357" t="s">
        <v>16</v>
      </c>
      <c r="B33" s="326">
        <v>2120</v>
      </c>
      <c r="C33" s="345" t="str">
        <f>'Log frame'!E21</f>
        <v>Rehabilitate and expand professionally operated piped water systems.</v>
      </c>
      <c r="D33" s="340" t="s">
        <v>101</v>
      </c>
      <c r="E33" s="326" t="s">
        <v>287</v>
      </c>
      <c r="F33" s="340" t="s">
        <v>103</v>
      </c>
      <c r="G33" s="352" t="s">
        <v>100</v>
      </c>
      <c r="H33" s="348" t="s">
        <v>209</v>
      </c>
      <c r="I33" s="348" t="str">
        <f t="shared" si="0"/>
        <v>Mattson</v>
      </c>
      <c r="J33" s="353" t="s">
        <v>288</v>
      </c>
      <c r="K33" s="333" t="s">
        <v>274</v>
      </c>
      <c r="L33" s="330" t="s">
        <v>279</v>
      </c>
      <c r="M33" s="330" t="s">
        <v>213</v>
      </c>
      <c r="N33" s="330" t="s">
        <v>218</v>
      </c>
      <c r="O33" s="333" t="s">
        <v>215</v>
      </c>
      <c r="P33" s="294"/>
      <c r="Q33" s="294"/>
      <c r="R33" s="331" t="s">
        <v>280</v>
      </c>
      <c r="S33" s="341" t="s">
        <v>217</v>
      </c>
      <c r="T33" s="341" t="s">
        <v>218</v>
      </c>
      <c r="U33" s="362" t="s">
        <v>247</v>
      </c>
      <c r="V33" s="198" t="s">
        <v>281</v>
      </c>
    </row>
    <row r="34" spans="1:22" ht="34.5" hidden="1" customHeight="1">
      <c r="A34" s="399" t="s">
        <v>40</v>
      </c>
      <c r="B34" s="401">
        <v>2200</v>
      </c>
      <c r="C34" s="408" t="str">
        <f>'Log frame'!F17</f>
        <v>Increased household access to sustainable, affordable, and safe sanitation services.​</v>
      </c>
      <c r="D34" s="402" t="s">
        <v>104</v>
      </c>
      <c r="E34" s="401" t="s">
        <v>289</v>
      </c>
      <c r="F34" s="411" t="s">
        <v>106</v>
      </c>
      <c r="G34" s="401" t="s">
        <v>107</v>
      </c>
      <c r="H34" s="348" t="s">
        <v>209</v>
      </c>
      <c r="I34" s="348" t="str">
        <f t="shared" si="0"/>
        <v>Mattson</v>
      </c>
      <c r="J34" s="401" t="s">
        <v>228</v>
      </c>
      <c r="K34" s="403" t="s">
        <v>290</v>
      </c>
      <c r="L34" s="405" t="s">
        <v>233</v>
      </c>
      <c r="M34" s="330" t="s">
        <v>258</v>
      </c>
      <c r="N34" s="405" t="s">
        <v>218</v>
      </c>
      <c r="O34" s="333" t="s">
        <v>215</v>
      </c>
      <c r="P34" s="294"/>
      <c r="Q34" s="294"/>
      <c r="R34" s="331" t="s">
        <v>280</v>
      </c>
      <c r="S34" s="404" t="s">
        <v>291</v>
      </c>
      <c r="T34" s="404" t="s">
        <v>218</v>
      </c>
      <c r="U34" s="362" t="s">
        <v>247</v>
      </c>
      <c r="V34" s="198" t="s">
        <v>281</v>
      </c>
    </row>
    <row r="35" spans="1:22" ht="34.5" hidden="1" customHeight="1">
      <c r="A35" s="399" t="s">
        <v>40</v>
      </c>
      <c r="B35" s="401">
        <v>2200</v>
      </c>
      <c r="C35" s="408" t="str">
        <f>C34</f>
        <v>Increased household access to sustainable, affordable, and safe sanitation services.​</v>
      </c>
      <c r="D35" s="402" t="s">
        <v>108</v>
      </c>
      <c r="E35" s="401" t="s">
        <v>292</v>
      </c>
      <c r="F35" s="402" t="s">
        <v>109</v>
      </c>
      <c r="G35" s="405" t="s">
        <v>107</v>
      </c>
      <c r="H35" s="348" t="s">
        <v>209</v>
      </c>
      <c r="I35" s="348" t="str">
        <f t="shared" si="0"/>
        <v>Mattson</v>
      </c>
      <c r="J35" s="402" t="s">
        <v>293</v>
      </c>
      <c r="K35" s="403" t="s">
        <v>290</v>
      </c>
      <c r="L35" s="405" t="s">
        <v>294</v>
      </c>
      <c r="M35" s="330" t="s">
        <v>258</v>
      </c>
      <c r="N35" s="405" t="s">
        <v>236</v>
      </c>
      <c r="O35" s="333" t="s">
        <v>215</v>
      </c>
      <c r="P35" s="294"/>
      <c r="Q35" s="294"/>
      <c r="R35" s="331" t="s">
        <v>280</v>
      </c>
      <c r="S35" s="404" t="s">
        <v>246</v>
      </c>
      <c r="T35" s="404" t="s">
        <v>236</v>
      </c>
      <c r="U35" s="362" t="s">
        <v>247</v>
      </c>
      <c r="V35" s="198" t="s">
        <v>281</v>
      </c>
    </row>
    <row r="36" spans="1:22" ht="34.5" hidden="1" customHeight="1">
      <c r="A36" s="399" t="s">
        <v>40</v>
      </c>
      <c r="B36" s="401">
        <v>2200</v>
      </c>
      <c r="C36" s="408" t="str">
        <f>'Log frame'!F17</f>
        <v>Increased household access to sustainable, affordable, and safe sanitation services.​</v>
      </c>
      <c r="D36" s="402" t="s">
        <v>110</v>
      </c>
      <c r="E36" s="401" t="s">
        <v>295</v>
      </c>
      <c r="F36" s="402" t="s">
        <v>111</v>
      </c>
      <c r="G36" s="405" t="s">
        <v>112</v>
      </c>
      <c r="H36" s="326" t="s">
        <v>296</v>
      </c>
      <c r="I36" s="326" t="str">
        <f t="shared" si="0"/>
        <v>Mattson</v>
      </c>
      <c r="J36" s="401" t="s">
        <v>297</v>
      </c>
      <c r="K36" s="410" t="s">
        <v>278</v>
      </c>
      <c r="L36" s="405" t="s">
        <v>279</v>
      </c>
      <c r="M36" s="330" t="s">
        <v>258</v>
      </c>
      <c r="N36" s="405" t="s">
        <v>298</v>
      </c>
      <c r="O36" s="333" t="s">
        <v>215</v>
      </c>
      <c r="P36" s="294"/>
      <c r="Q36" s="294"/>
      <c r="R36" s="331" t="s">
        <v>280</v>
      </c>
      <c r="S36" s="412" t="s">
        <v>299</v>
      </c>
      <c r="T36" s="404" t="s">
        <v>236</v>
      </c>
      <c r="U36" s="362" t="s">
        <v>247</v>
      </c>
      <c r="V36" s="198" t="s">
        <v>281</v>
      </c>
    </row>
    <row r="37" spans="1:22" ht="34.5" hidden="1" customHeight="1">
      <c r="A37" s="357" t="s">
        <v>16</v>
      </c>
      <c r="B37" s="339">
        <v>2210</v>
      </c>
      <c r="C37" s="345" t="str">
        <f>'Log frame'!F19</f>
        <v>Mobilize communities to achieve Open Defecation Free status</v>
      </c>
      <c r="D37" s="340" t="s">
        <v>113</v>
      </c>
      <c r="E37" s="342" t="s">
        <v>300</v>
      </c>
      <c r="F37" s="340" t="s">
        <v>115</v>
      </c>
      <c r="G37" s="352" t="s">
        <v>100</v>
      </c>
      <c r="H37" s="326" t="s">
        <v>296</v>
      </c>
      <c r="I37" s="326" t="str">
        <f t="shared" si="0"/>
        <v>Mattson</v>
      </c>
      <c r="J37" s="326" t="s">
        <v>297</v>
      </c>
      <c r="K37" s="331" t="s">
        <v>278</v>
      </c>
      <c r="L37" s="326" t="s">
        <v>279</v>
      </c>
      <c r="M37" s="326" t="s">
        <v>258</v>
      </c>
      <c r="N37" s="330" t="s">
        <v>214</v>
      </c>
      <c r="O37" s="333" t="s">
        <v>215</v>
      </c>
      <c r="P37" s="294"/>
      <c r="Q37" s="294"/>
      <c r="R37" s="331" t="s">
        <v>280</v>
      </c>
      <c r="S37" s="341" t="s">
        <v>217</v>
      </c>
      <c r="T37" s="341" t="s">
        <v>218</v>
      </c>
      <c r="U37" s="362" t="s">
        <v>247</v>
      </c>
      <c r="V37" s="198" t="s">
        <v>281</v>
      </c>
    </row>
    <row r="38" spans="1:22" ht="34.5" hidden="1" customHeight="1">
      <c r="A38" s="357" t="s">
        <v>16</v>
      </c>
      <c r="B38" s="339">
        <v>2230</v>
      </c>
      <c r="C38" s="345" t="str">
        <f>'Log frame'!F23</f>
        <v>Construct public latrines.</v>
      </c>
      <c r="D38" s="340" t="s">
        <v>116</v>
      </c>
      <c r="E38" s="326" t="s">
        <v>301</v>
      </c>
      <c r="F38" s="326" t="s">
        <v>118</v>
      </c>
      <c r="G38" s="352" t="s">
        <v>119</v>
      </c>
      <c r="H38" s="348" t="s">
        <v>209</v>
      </c>
      <c r="I38" s="348" t="s">
        <v>302</v>
      </c>
      <c r="J38" s="340" t="s">
        <v>293</v>
      </c>
      <c r="K38" s="331" t="s">
        <v>303</v>
      </c>
      <c r="L38" s="330" t="s">
        <v>279</v>
      </c>
      <c r="M38" s="330" t="s">
        <v>213</v>
      </c>
      <c r="N38" s="330" t="s">
        <v>218</v>
      </c>
      <c r="O38" s="333" t="s">
        <v>215</v>
      </c>
      <c r="P38" s="294"/>
      <c r="Q38" s="294"/>
      <c r="R38" s="331" t="s">
        <v>280</v>
      </c>
      <c r="S38" s="341" t="s">
        <v>246</v>
      </c>
      <c r="T38" s="341" t="s">
        <v>218</v>
      </c>
      <c r="U38" s="362" t="s">
        <v>247</v>
      </c>
      <c r="V38" s="198" t="s">
        <v>304</v>
      </c>
    </row>
    <row r="39" spans="1:22" ht="34.5" hidden="1" customHeight="1">
      <c r="A39" s="399" t="s">
        <v>40</v>
      </c>
      <c r="B39" s="401">
        <v>2300</v>
      </c>
      <c r="C39" s="402" t="str">
        <f>'Log frame'!G17</f>
        <v>Increased household access to hygiene services.</v>
      </c>
      <c r="D39" s="402" t="s">
        <v>120</v>
      </c>
      <c r="E39" s="401" t="s">
        <v>305</v>
      </c>
      <c r="F39" s="402" t="s">
        <v>122</v>
      </c>
      <c r="G39" s="409" t="s">
        <v>123</v>
      </c>
      <c r="H39" s="326" t="s">
        <v>227</v>
      </c>
      <c r="I39" s="326" t="str">
        <f t="shared" si="0"/>
        <v>Mattson</v>
      </c>
      <c r="J39" s="413" t="s">
        <v>306</v>
      </c>
      <c r="K39" s="410" t="s">
        <v>278</v>
      </c>
      <c r="L39" s="405" t="s">
        <v>279</v>
      </c>
      <c r="M39" s="330" t="s">
        <v>258</v>
      </c>
      <c r="N39" s="405" t="s">
        <v>298</v>
      </c>
      <c r="O39" s="333" t="s">
        <v>215</v>
      </c>
      <c r="P39" s="294"/>
      <c r="Q39" s="294"/>
      <c r="R39" s="331" t="s">
        <v>280</v>
      </c>
      <c r="S39" s="412" t="s">
        <v>299</v>
      </c>
      <c r="T39" s="404" t="s">
        <v>218</v>
      </c>
      <c r="U39" s="362" t="s">
        <v>247</v>
      </c>
      <c r="V39" s="198" t="s">
        <v>307</v>
      </c>
    </row>
    <row r="40" spans="1:22" ht="34.5" hidden="1" customHeight="1">
      <c r="A40" s="357" t="s">
        <v>16</v>
      </c>
      <c r="B40" s="339">
        <v>2310</v>
      </c>
      <c r="C40" s="326" t="str">
        <f>'Log frame'!G19</f>
        <v>Train skilled community animators to deliver hygiene trainings and community mobilization.​</v>
      </c>
      <c r="D40" s="340" t="s">
        <v>124</v>
      </c>
      <c r="E40" s="326" t="s">
        <v>308</v>
      </c>
      <c r="F40" s="326" t="s">
        <v>126</v>
      </c>
      <c r="G40" s="352" t="s">
        <v>127</v>
      </c>
      <c r="H40" s="326" t="s">
        <v>227</v>
      </c>
      <c r="I40" s="326" t="str">
        <f t="shared" si="0"/>
        <v>Mattson</v>
      </c>
      <c r="J40" s="326" t="s">
        <v>228</v>
      </c>
      <c r="K40" s="333" t="s">
        <v>309</v>
      </c>
      <c r="L40" s="330" t="s">
        <v>279</v>
      </c>
      <c r="M40" s="330" t="s">
        <v>258</v>
      </c>
      <c r="N40" s="330" t="s">
        <v>268</v>
      </c>
      <c r="O40" s="333" t="s">
        <v>215</v>
      </c>
      <c r="P40" s="294"/>
      <c r="Q40" s="294"/>
      <c r="R40" s="330" t="s">
        <v>223</v>
      </c>
      <c r="S40" s="341" t="s">
        <v>291</v>
      </c>
      <c r="T40" s="341" t="s">
        <v>218</v>
      </c>
      <c r="U40" s="359" t="s">
        <v>215</v>
      </c>
      <c r="V40" s="198" t="s">
        <v>240</v>
      </c>
    </row>
    <row r="41" spans="1:22" ht="34.5" hidden="1" customHeight="1">
      <c r="A41" s="357" t="s">
        <v>16</v>
      </c>
      <c r="B41" s="339">
        <v>2310</v>
      </c>
      <c r="C41" s="326" t="s">
        <v>125</v>
      </c>
      <c r="D41" s="326" t="s">
        <v>128</v>
      </c>
      <c r="E41" s="326" t="s">
        <v>310</v>
      </c>
      <c r="F41" s="326" t="s">
        <v>129</v>
      </c>
      <c r="G41" s="352" t="s">
        <v>130</v>
      </c>
      <c r="H41" s="326" t="s">
        <v>221</v>
      </c>
      <c r="I41" s="326" t="s">
        <v>222</v>
      </c>
      <c r="J41" s="326" t="s">
        <v>311</v>
      </c>
      <c r="K41" s="333" t="s">
        <v>312</v>
      </c>
      <c r="L41" s="330" t="s">
        <v>279</v>
      </c>
      <c r="M41" s="330" t="s">
        <v>213</v>
      </c>
      <c r="N41" s="330" t="s">
        <v>214</v>
      </c>
      <c r="O41" s="333" t="s">
        <v>215</v>
      </c>
      <c r="P41" s="330" t="s">
        <v>223</v>
      </c>
      <c r="Q41" s="341" t="s">
        <v>259</v>
      </c>
      <c r="R41" s="330" t="s">
        <v>223</v>
      </c>
      <c r="S41" s="341" t="s">
        <v>217</v>
      </c>
      <c r="T41" s="341" t="s">
        <v>218</v>
      </c>
      <c r="U41" s="359" t="s">
        <v>215</v>
      </c>
      <c r="V41"/>
    </row>
    <row r="42" spans="1:22" ht="34.5" hidden="1" customHeight="1">
      <c r="A42" s="357" t="s">
        <v>16</v>
      </c>
      <c r="B42" s="339">
        <v>2320</v>
      </c>
      <c r="C42" s="345" t="str">
        <f>'Log frame'!G21</f>
        <v>Certify the sustained usage of hygiene services.</v>
      </c>
      <c r="D42" s="326" t="s">
        <v>131</v>
      </c>
      <c r="E42" s="326" t="s">
        <v>313</v>
      </c>
      <c r="F42" s="340" t="s">
        <v>132</v>
      </c>
      <c r="G42" s="352" t="s">
        <v>100</v>
      </c>
      <c r="H42" s="326" t="s">
        <v>227</v>
      </c>
      <c r="I42" s="326" t="str">
        <f t="shared" si="0"/>
        <v>Mattson</v>
      </c>
      <c r="J42" s="326" t="s">
        <v>228</v>
      </c>
      <c r="K42" s="333" t="s">
        <v>290</v>
      </c>
      <c r="L42" s="330" t="s">
        <v>279</v>
      </c>
      <c r="M42" s="330" t="s">
        <v>258</v>
      </c>
      <c r="N42" s="330" t="s">
        <v>214</v>
      </c>
      <c r="O42" s="333" t="s">
        <v>215</v>
      </c>
      <c r="P42" s="294"/>
      <c r="Q42" s="294"/>
      <c r="R42" s="330" t="s">
        <v>223</v>
      </c>
      <c r="S42" s="341" t="s">
        <v>246</v>
      </c>
      <c r="T42" s="341" t="s">
        <v>218</v>
      </c>
      <c r="U42" s="359" t="s">
        <v>215</v>
      </c>
      <c r="V42" s="198" t="s">
        <v>240</v>
      </c>
    </row>
    <row r="43" spans="1:22" ht="47.1" hidden="1" customHeight="1">
      <c r="A43" s="399" t="s">
        <v>40</v>
      </c>
      <c r="B43" s="401">
        <v>2400</v>
      </c>
      <c r="C43" s="402" t="str">
        <f>'Log frame'!H17</f>
        <v>Increased access to sustainable, safe drinking water, sanitation, and hygiene materials in healthcare facilities, schools, and public places.</v>
      </c>
      <c r="D43" s="402" t="s">
        <v>133</v>
      </c>
      <c r="E43" s="414" t="s">
        <v>314</v>
      </c>
      <c r="F43" s="414" t="s">
        <v>135</v>
      </c>
      <c r="G43" s="405" t="s">
        <v>136</v>
      </c>
      <c r="H43" s="348" t="s">
        <v>209</v>
      </c>
      <c r="I43" s="348" t="s">
        <v>302</v>
      </c>
      <c r="J43" s="401" t="s">
        <v>315</v>
      </c>
      <c r="K43" s="403" t="s">
        <v>316</v>
      </c>
      <c r="L43" s="405" t="s">
        <v>279</v>
      </c>
      <c r="M43" s="330" t="s">
        <v>258</v>
      </c>
      <c r="N43" s="405" t="s">
        <v>236</v>
      </c>
      <c r="O43" s="333" t="s">
        <v>215</v>
      </c>
      <c r="P43" s="294"/>
      <c r="Q43" s="294"/>
      <c r="R43" s="331" t="s">
        <v>317</v>
      </c>
      <c r="S43" s="412" t="s">
        <v>246</v>
      </c>
      <c r="T43" s="404" t="s">
        <v>236</v>
      </c>
      <c r="U43" s="362" t="s">
        <v>247</v>
      </c>
      <c r="V43" s="198" t="s">
        <v>248</v>
      </c>
    </row>
    <row r="44" spans="1:22" ht="56.1" hidden="1" customHeight="1">
      <c r="A44" s="399" t="s">
        <v>40</v>
      </c>
      <c r="B44" s="401">
        <v>2400</v>
      </c>
      <c r="C44" s="402" t="str">
        <f>'Log frame'!H17</f>
        <v>Increased access to sustainable, safe drinking water, sanitation, and hygiene materials in healthcare facilities, schools, and public places.</v>
      </c>
      <c r="D44" s="402" t="s">
        <v>137</v>
      </c>
      <c r="E44" s="415" t="s">
        <v>318</v>
      </c>
      <c r="F44" s="414" t="s">
        <v>138</v>
      </c>
      <c r="G44" s="405" t="s">
        <v>139</v>
      </c>
      <c r="H44" s="348" t="s">
        <v>209</v>
      </c>
      <c r="I44" s="348" t="s">
        <v>302</v>
      </c>
      <c r="J44" s="401" t="s">
        <v>315</v>
      </c>
      <c r="K44" s="403" t="s">
        <v>319</v>
      </c>
      <c r="L44" s="405" t="s">
        <v>279</v>
      </c>
      <c r="M44" s="330" t="s">
        <v>258</v>
      </c>
      <c r="N44" s="405" t="s">
        <v>236</v>
      </c>
      <c r="O44" s="333" t="s">
        <v>215</v>
      </c>
      <c r="P44" s="294"/>
      <c r="Q44" s="294"/>
      <c r="R44" s="331" t="s">
        <v>320</v>
      </c>
      <c r="S44" s="412" t="s">
        <v>246</v>
      </c>
      <c r="T44" s="404" t="s">
        <v>236</v>
      </c>
      <c r="U44" s="362" t="s">
        <v>247</v>
      </c>
      <c r="V44" s="198" t="s">
        <v>248</v>
      </c>
    </row>
    <row r="45" spans="1:22" ht="34.5" hidden="1" customHeight="1">
      <c r="A45" s="357" t="s">
        <v>16</v>
      </c>
      <c r="B45" s="339">
        <v>2410</v>
      </c>
      <c r="C45" s="326" t="str">
        <f>'Log frame'!H19</f>
        <v>Construct or rehabilitate water supply for healthcare facilities and schools.</v>
      </c>
      <c r="D45" s="339" t="s">
        <v>140</v>
      </c>
      <c r="E45" s="354" t="s">
        <v>321</v>
      </c>
      <c r="F45" s="354" t="s">
        <v>142</v>
      </c>
      <c r="G45" s="330" t="s">
        <v>143</v>
      </c>
      <c r="H45" s="348" t="s">
        <v>209</v>
      </c>
      <c r="I45" s="348" t="s">
        <v>302</v>
      </c>
      <c r="J45" s="326" t="s">
        <v>322</v>
      </c>
      <c r="K45" s="333" t="s">
        <v>316</v>
      </c>
      <c r="L45" s="330" t="s">
        <v>279</v>
      </c>
      <c r="M45" s="330" t="s">
        <v>258</v>
      </c>
      <c r="N45" s="330" t="s">
        <v>218</v>
      </c>
      <c r="O45" s="333" t="s">
        <v>215</v>
      </c>
      <c r="P45" s="294"/>
      <c r="Q45" s="294"/>
      <c r="R45" s="331" t="s">
        <v>317</v>
      </c>
      <c r="S45" s="341" t="s">
        <v>246</v>
      </c>
      <c r="T45" s="341" t="s">
        <v>236</v>
      </c>
      <c r="U45" s="362" t="s">
        <v>247</v>
      </c>
      <c r="V45" s="198" t="s">
        <v>248</v>
      </c>
    </row>
    <row r="46" spans="1:22" ht="34.5" hidden="1" customHeight="1">
      <c r="A46" s="357" t="s">
        <v>16</v>
      </c>
      <c r="B46" s="339">
        <v>2410</v>
      </c>
      <c r="C46" s="326" t="str">
        <f>'Log frame'!H19</f>
        <v>Construct or rehabilitate water supply for healthcare facilities and schools.</v>
      </c>
      <c r="D46" s="339" t="s">
        <v>144</v>
      </c>
      <c r="E46" s="346" t="s">
        <v>323</v>
      </c>
      <c r="F46" s="354" t="s">
        <v>145</v>
      </c>
      <c r="G46" s="330" t="s">
        <v>146</v>
      </c>
      <c r="H46" s="348" t="s">
        <v>209</v>
      </c>
      <c r="I46" s="348" t="s">
        <v>302</v>
      </c>
      <c r="J46" s="326" t="s">
        <v>322</v>
      </c>
      <c r="K46" s="333" t="s">
        <v>319</v>
      </c>
      <c r="L46" s="330" t="s">
        <v>279</v>
      </c>
      <c r="M46" s="330" t="s">
        <v>258</v>
      </c>
      <c r="N46" s="330" t="s">
        <v>218</v>
      </c>
      <c r="O46" s="333" t="s">
        <v>215</v>
      </c>
      <c r="P46" s="294"/>
      <c r="Q46" s="294"/>
      <c r="R46" s="331" t="s">
        <v>320</v>
      </c>
      <c r="S46" s="341" t="s">
        <v>246</v>
      </c>
      <c r="T46" s="341" t="s">
        <v>236</v>
      </c>
      <c r="U46" s="362" t="s">
        <v>247</v>
      </c>
      <c r="V46" s="198" t="s">
        <v>248</v>
      </c>
    </row>
    <row r="47" spans="1:22" ht="34.5" hidden="1" customHeight="1">
      <c r="A47" s="357" t="s">
        <v>16</v>
      </c>
      <c r="B47" s="339">
        <v>2420</v>
      </c>
      <c r="C47" s="345" t="str">
        <f>'Log frame'!H21</f>
        <v>Construct communal, healthcare facility, and school latrines.</v>
      </c>
      <c r="D47" s="326" t="s">
        <v>147</v>
      </c>
      <c r="E47" s="346" t="s">
        <v>324</v>
      </c>
      <c r="F47" s="354" t="s">
        <v>149</v>
      </c>
      <c r="G47" s="330" t="s">
        <v>143</v>
      </c>
      <c r="H47" s="348" t="s">
        <v>209</v>
      </c>
      <c r="I47" s="348" t="s">
        <v>302</v>
      </c>
      <c r="J47" s="326" t="s">
        <v>325</v>
      </c>
      <c r="K47" s="333" t="s">
        <v>316</v>
      </c>
      <c r="L47" s="330" t="s">
        <v>279</v>
      </c>
      <c r="M47" s="330" t="s">
        <v>258</v>
      </c>
      <c r="N47" s="330" t="s">
        <v>218</v>
      </c>
      <c r="O47" s="333" t="s">
        <v>215</v>
      </c>
      <c r="P47" s="294"/>
      <c r="Q47" s="294"/>
      <c r="R47" s="331" t="s">
        <v>317</v>
      </c>
      <c r="S47" s="341" t="s">
        <v>246</v>
      </c>
      <c r="T47" s="341" t="s">
        <v>236</v>
      </c>
      <c r="U47" s="362" t="s">
        <v>247</v>
      </c>
      <c r="V47" s="198" t="s">
        <v>248</v>
      </c>
    </row>
    <row r="48" spans="1:22" ht="34.5" hidden="1" customHeight="1">
      <c r="A48" s="357" t="s">
        <v>16</v>
      </c>
      <c r="B48" s="339">
        <v>2420</v>
      </c>
      <c r="C48" s="345" t="str">
        <f>'Log frame'!H21</f>
        <v>Construct communal, healthcare facility, and school latrines.</v>
      </c>
      <c r="D48" s="326" t="s">
        <v>150</v>
      </c>
      <c r="E48" s="346" t="s">
        <v>326</v>
      </c>
      <c r="F48" s="354" t="s">
        <v>151</v>
      </c>
      <c r="G48" s="330" t="s">
        <v>146</v>
      </c>
      <c r="H48" s="348" t="s">
        <v>209</v>
      </c>
      <c r="I48" s="348" t="s">
        <v>302</v>
      </c>
      <c r="J48" s="326" t="s">
        <v>325</v>
      </c>
      <c r="K48" s="333" t="s">
        <v>319</v>
      </c>
      <c r="L48" s="330" t="s">
        <v>279</v>
      </c>
      <c r="M48" s="330" t="s">
        <v>258</v>
      </c>
      <c r="N48" s="330" t="s">
        <v>218</v>
      </c>
      <c r="O48" s="333" t="s">
        <v>215</v>
      </c>
      <c r="P48" s="294"/>
      <c r="Q48" s="294"/>
      <c r="R48" s="331" t="s">
        <v>320</v>
      </c>
      <c r="S48" s="341" t="s">
        <v>246</v>
      </c>
      <c r="T48" s="341" t="s">
        <v>236</v>
      </c>
      <c r="U48" s="362" t="s">
        <v>247</v>
      </c>
      <c r="V48" s="198" t="s">
        <v>248</v>
      </c>
    </row>
    <row r="49" spans="1:32" ht="34.5" hidden="1" customHeight="1">
      <c r="A49" s="357" t="s">
        <v>16</v>
      </c>
      <c r="B49" s="339">
        <v>2430</v>
      </c>
      <c r="C49" s="326" t="str">
        <f>'Log frame'!H23</f>
        <v>Work with (local authorities, civil society) to ensure access to soap or alcohol-based handrub at schools and healthcare facilities.</v>
      </c>
      <c r="D49" s="326" t="s">
        <v>152</v>
      </c>
      <c r="E49" s="326" t="s">
        <v>327</v>
      </c>
      <c r="F49" s="354" t="s">
        <v>154</v>
      </c>
      <c r="G49" s="330" t="s">
        <v>143</v>
      </c>
      <c r="H49" s="348" t="s">
        <v>209</v>
      </c>
      <c r="I49" s="348" t="s">
        <v>302</v>
      </c>
      <c r="J49" s="326" t="s">
        <v>328</v>
      </c>
      <c r="K49" s="333" t="s">
        <v>316</v>
      </c>
      <c r="L49" s="330" t="s">
        <v>279</v>
      </c>
      <c r="M49" s="330" t="s">
        <v>258</v>
      </c>
      <c r="N49" s="330" t="s">
        <v>218</v>
      </c>
      <c r="O49" s="333" t="s">
        <v>215</v>
      </c>
      <c r="P49" s="294"/>
      <c r="Q49" s="294"/>
      <c r="R49" s="331" t="s">
        <v>317</v>
      </c>
      <c r="S49" s="341" t="s">
        <v>246</v>
      </c>
      <c r="T49" s="341" t="s">
        <v>236</v>
      </c>
      <c r="U49" s="362" t="s">
        <v>247</v>
      </c>
      <c r="V49" s="336" t="s">
        <v>248</v>
      </c>
    </row>
    <row r="50" spans="1:32" ht="34.5" hidden="1" customHeight="1">
      <c r="A50" s="357" t="s">
        <v>16</v>
      </c>
      <c r="B50" s="339">
        <v>2430</v>
      </c>
      <c r="C50" s="326" t="str">
        <f>'Log frame'!H23</f>
        <v>Work with (local authorities, civil society) to ensure access to soap or alcohol-based handrub at schools and healthcare facilities.</v>
      </c>
      <c r="D50" s="326" t="s">
        <v>155</v>
      </c>
      <c r="E50" s="326" t="s">
        <v>329</v>
      </c>
      <c r="F50" s="354" t="s">
        <v>156</v>
      </c>
      <c r="G50" s="330" t="s">
        <v>146</v>
      </c>
      <c r="H50" s="348" t="s">
        <v>209</v>
      </c>
      <c r="I50" s="348" t="s">
        <v>302</v>
      </c>
      <c r="J50" s="326" t="s">
        <v>330</v>
      </c>
      <c r="K50" s="333" t="s">
        <v>319</v>
      </c>
      <c r="L50" s="330" t="s">
        <v>279</v>
      </c>
      <c r="M50" s="330" t="s">
        <v>258</v>
      </c>
      <c r="N50" s="330" t="s">
        <v>218</v>
      </c>
      <c r="O50" s="333" t="s">
        <v>215</v>
      </c>
      <c r="P50" s="294"/>
      <c r="Q50" s="294"/>
      <c r="R50" s="331" t="s">
        <v>320</v>
      </c>
      <c r="S50" s="341" t="s">
        <v>246</v>
      </c>
      <c r="T50" s="341" t="s">
        <v>236</v>
      </c>
      <c r="U50" s="362" t="s">
        <v>247</v>
      </c>
      <c r="V50" s="198" t="s">
        <v>248</v>
      </c>
    </row>
    <row r="51" spans="1:32" ht="34.5" hidden="1" customHeight="1">
      <c r="A51" s="393" t="s">
        <v>37</v>
      </c>
      <c r="B51" s="395">
        <v>3000</v>
      </c>
      <c r="C51" s="395" t="str">
        <f>'Log frame'!I15</f>
        <v>Expanded reach and resources leveraged through collective action with other national and international actors.​</v>
      </c>
      <c r="D51" s="395" t="s">
        <v>36</v>
      </c>
      <c r="E51" s="395" t="s">
        <v>36</v>
      </c>
      <c r="F51" s="395" t="s">
        <v>36</v>
      </c>
      <c r="G51" s="398" t="s">
        <v>36</v>
      </c>
      <c r="H51" s="326" t="s">
        <v>36</v>
      </c>
      <c r="I51" s="326" t="str">
        <f t="shared" si="0"/>
        <v>Mattson</v>
      </c>
      <c r="J51" s="398" t="s">
        <v>36</v>
      </c>
      <c r="K51" s="398" t="s">
        <v>36</v>
      </c>
      <c r="L51" s="398" t="s">
        <v>36</v>
      </c>
      <c r="M51" s="330"/>
      <c r="N51" s="398" t="s">
        <v>36</v>
      </c>
      <c r="O51" s="330" t="s">
        <v>36</v>
      </c>
      <c r="P51" s="330" t="s">
        <v>36</v>
      </c>
      <c r="Q51" s="330" t="s">
        <v>36</v>
      </c>
      <c r="R51" s="330" t="s">
        <v>36</v>
      </c>
      <c r="S51" s="398" t="s">
        <v>36</v>
      </c>
      <c r="T51" s="398" t="s">
        <v>36</v>
      </c>
      <c r="U51" s="361" t="s">
        <v>36</v>
      </c>
      <c r="V51" s="136" t="s">
        <v>207</v>
      </c>
    </row>
    <row r="52" spans="1:32" ht="34.5" hidden="1" customHeight="1">
      <c r="A52" s="399" t="s">
        <v>40</v>
      </c>
      <c r="B52" s="401">
        <v>3100</v>
      </c>
      <c r="C52" s="401" t="str">
        <f>'Log frame'!I17</f>
        <v>Increased government and non-government funding in alignment with HANWASH Core Values.</v>
      </c>
      <c r="D52" s="401" t="s">
        <v>157</v>
      </c>
      <c r="E52" s="401" t="s">
        <v>331</v>
      </c>
      <c r="F52" s="407" t="s">
        <v>158</v>
      </c>
      <c r="G52" s="405" t="s">
        <v>159</v>
      </c>
      <c r="H52" s="330" t="s">
        <v>332</v>
      </c>
      <c r="I52" s="330" t="str">
        <f t="shared" si="0"/>
        <v>Mattson</v>
      </c>
      <c r="J52" s="405" t="s">
        <v>333</v>
      </c>
      <c r="K52" s="403" t="s">
        <v>334</v>
      </c>
      <c r="L52" s="405" t="s">
        <v>335</v>
      </c>
      <c r="M52" s="330" t="s">
        <v>213</v>
      </c>
      <c r="N52" s="405" t="s">
        <v>236</v>
      </c>
      <c r="O52" s="350" t="s">
        <v>231</v>
      </c>
      <c r="P52" s="330"/>
      <c r="Q52" s="330"/>
      <c r="R52" s="330" t="s">
        <v>223</v>
      </c>
      <c r="S52" s="405" t="s">
        <v>336</v>
      </c>
      <c r="T52" s="405" t="s">
        <v>236</v>
      </c>
      <c r="U52" s="361" t="s">
        <v>231</v>
      </c>
      <c r="V52" s="328" t="s">
        <v>337</v>
      </c>
    </row>
    <row r="53" spans="1:32" ht="38.25" hidden="1" customHeight="1">
      <c r="A53" s="399" t="s">
        <v>40</v>
      </c>
      <c r="B53" s="401">
        <v>3100</v>
      </c>
      <c r="C53" s="401" t="str">
        <f>'Log frame'!I17</f>
        <v>Increased government and non-government funding in alignment with HANWASH Core Values.</v>
      </c>
      <c r="D53" s="409" t="s">
        <v>160</v>
      </c>
      <c r="E53" s="401" t="s">
        <v>338</v>
      </c>
      <c r="F53" s="407" t="s">
        <v>161</v>
      </c>
      <c r="G53" s="405" t="s">
        <v>162</v>
      </c>
      <c r="H53" s="330" t="s">
        <v>209</v>
      </c>
      <c r="I53" s="330" t="s">
        <v>222</v>
      </c>
      <c r="J53" s="405" t="s">
        <v>339</v>
      </c>
      <c r="K53" s="403" t="s">
        <v>334</v>
      </c>
      <c r="L53" s="405" t="s">
        <v>335</v>
      </c>
      <c r="M53" s="330" t="s">
        <v>213</v>
      </c>
      <c r="N53" s="405" t="s">
        <v>236</v>
      </c>
      <c r="O53" s="350" t="s">
        <v>231</v>
      </c>
      <c r="P53" s="330"/>
      <c r="Q53" s="330"/>
      <c r="R53" s="330" t="s">
        <v>223</v>
      </c>
      <c r="S53" s="405" t="s">
        <v>336</v>
      </c>
      <c r="T53" s="405" t="s">
        <v>236</v>
      </c>
      <c r="U53" s="361" t="s">
        <v>247</v>
      </c>
      <c r="V53" s="328" t="s">
        <v>240</v>
      </c>
      <c r="W53" s="8"/>
      <c r="X53" s="8"/>
      <c r="Y53" s="8"/>
      <c r="Z53" s="8"/>
      <c r="AA53" s="8"/>
      <c r="AB53" s="8"/>
      <c r="AC53" s="8"/>
      <c r="AD53" s="8"/>
      <c r="AE53" s="8"/>
      <c r="AF53" s="8"/>
    </row>
    <row r="54" spans="1:32" ht="34.5" hidden="1" customHeight="1">
      <c r="A54" s="357" t="s">
        <v>16</v>
      </c>
      <c r="B54" s="339">
        <v>3110</v>
      </c>
      <c r="C54" s="345" t="str">
        <f>'Log frame'!I19</f>
        <v>Mobilize and coordinate funding from government and non-government sources in HANWASH program areas in alignment with HANWASH Core Values.</v>
      </c>
      <c r="D54" s="326" t="s">
        <v>163</v>
      </c>
      <c r="E54" s="326" t="s">
        <v>340</v>
      </c>
      <c r="F54" s="340" t="s">
        <v>164</v>
      </c>
      <c r="G54" s="352" t="s">
        <v>159</v>
      </c>
      <c r="H54" s="326" t="s">
        <v>332</v>
      </c>
      <c r="I54" s="326" t="str">
        <f t="shared" si="0"/>
        <v>Mattson</v>
      </c>
      <c r="J54" s="326" t="s">
        <v>341</v>
      </c>
      <c r="K54" s="333" t="s">
        <v>334</v>
      </c>
      <c r="L54" s="330" t="s">
        <v>335</v>
      </c>
      <c r="M54" s="330" t="s">
        <v>213</v>
      </c>
      <c r="N54" s="330" t="s">
        <v>236</v>
      </c>
      <c r="O54" s="333" t="s">
        <v>231</v>
      </c>
      <c r="P54" s="294"/>
      <c r="Q54" s="294"/>
      <c r="R54" s="341" t="s">
        <v>223</v>
      </c>
      <c r="S54" s="341" t="s">
        <v>336</v>
      </c>
      <c r="T54" s="341" t="s">
        <v>236</v>
      </c>
      <c r="U54" s="359" t="s">
        <v>231</v>
      </c>
      <c r="V54" s="198" t="s">
        <v>337</v>
      </c>
    </row>
    <row r="55" spans="1:32" ht="34.5" hidden="1" customHeight="1">
      <c r="A55" s="357" t="s">
        <v>16</v>
      </c>
      <c r="B55" s="339">
        <v>3120</v>
      </c>
      <c r="C55" s="345" t="str">
        <f>'Log frame'!I21</f>
        <v>Mobilize and influence funding from government and non-government sources beyond HANWASH program areas in alignment with HANWASH Core Values.</v>
      </c>
      <c r="D55" s="326" t="s">
        <v>165</v>
      </c>
      <c r="E55" s="326" t="s">
        <v>342</v>
      </c>
      <c r="F55" s="340" t="s">
        <v>166</v>
      </c>
      <c r="G55" s="352" t="s">
        <v>159</v>
      </c>
      <c r="H55" s="326" t="s">
        <v>332</v>
      </c>
      <c r="I55" s="326" t="s">
        <v>302</v>
      </c>
      <c r="J55" s="326" t="s">
        <v>341</v>
      </c>
      <c r="K55" s="333" t="s">
        <v>334</v>
      </c>
      <c r="L55" s="330" t="s">
        <v>335</v>
      </c>
      <c r="M55" s="330" t="s">
        <v>213</v>
      </c>
      <c r="N55" s="330" t="s">
        <v>236</v>
      </c>
      <c r="O55" s="333" t="s">
        <v>231</v>
      </c>
      <c r="P55" s="294"/>
      <c r="Q55" s="294"/>
      <c r="R55" s="341" t="s">
        <v>223</v>
      </c>
      <c r="S55" s="341" t="s">
        <v>336</v>
      </c>
      <c r="T55" s="341" t="s">
        <v>236</v>
      </c>
      <c r="U55" s="359" t="s">
        <v>231</v>
      </c>
      <c r="V55" s="198" t="s">
        <v>337</v>
      </c>
    </row>
    <row r="56" spans="1:32" ht="34.5" hidden="1" customHeight="1">
      <c r="A56" s="399" t="s">
        <v>40</v>
      </c>
      <c r="B56" s="416">
        <v>3200</v>
      </c>
      <c r="C56" s="417" t="str">
        <f>'Log frame'!J17</f>
        <v>Increased capacity of DINEPA to regulate the sector and OREPA to oversee and support implementation.</v>
      </c>
      <c r="D56" s="405" t="s">
        <v>167</v>
      </c>
      <c r="E56" s="401" t="s">
        <v>343</v>
      </c>
      <c r="F56" s="401" t="s">
        <v>168</v>
      </c>
      <c r="G56" s="400" t="s">
        <v>169</v>
      </c>
      <c r="H56" s="339" t="s">
        <v>227</v>
      </c>
      <c r="I56" s="339" t="str">
        <f t="shared" si="0"/>
        <v>Mattson</v>
      </c>
      <c r="J56" s="401" t="s">
        <v>344</v>
      </c>
      <c r="K56" s="403" t="s">
        <v>345</v>
      </c>
      <c r="L56" s="401" t="s">
        <v>336</v>
      </c>
      <c r="M56" s="326" t="s">
        <v>213</v>
      </c>
      <c r="N56" s="401" t="s">
        <v>236</v>
      </c>
      <c r="O56" s="326" t="s">
        <v>36</v>
      </c>
      <c r="P56" s="326" t="s">
        <v>36</v>
      </c>
      <c r="Q56" s="326" t="s">
        <v>36</v>
      </c>
      <c r="R56" s="326" t="s">
        <v>36</v>
      </c>
      <c r="S56" s="401" t="s">
        <v>270</v>
      </c>
      <c r="T56" s="401" t="s">
        <v>236</v>
      </c>
      <c r="U56" s="358" t="s">
        <v>36</v>
      </c>
      <c r="V56" s="136" t="s">
        <v>346</v>
      </c>
    </row>
    <row r="57" spans="1:32" ht="34.5" hidden="1" customHeight="1" thickBot="1">
      <c r="A57" s="363" t="s">
        <v>16</v>
      </c>
      <c r="B57" s="364">
        <v>3220</v>
      </c>
      <c r="C57" s="365" t="str">
        <f>'Log frame'!J21</f>
        <v>Provide technical assistance and training to DINEPA and the OREPAs.</v>
      </c>
      <c r="D57" s="366" t="s">
        <v>170</v>
      </c>
      <c r="E57" s="366" t="s">
        <v>347</v>
      </c>
      <c r="F57" s="367" t="s">
        <v>171</v>
      </c>
      <c r="G57" s="368" t="s">
        <v>172</v>
      </c>
      <c r="H57" s="368" t="s">
        <v>209</v>
      </c>
      <c r="I57" s="368" t="str">
        <f t="shared" si="0"/>
        <v>Mattson</v>
      </c>
      <c r="J57" s="366" t="s">
        <v>228</v>
      </c>
      <c r="K57" s="369" t="s">
        <v>211</v>
      </c>
      <c r="L57" s="366" t="s">
        <v>279</v>
      </c>
      <c r="M57" s="366" t="s">
        <v>213</v>
      </c>
      <c r="N57" s="370" t="s">
        <v>268</v>
      </c>
      <c r="O57" s="369" t="s">
        <v>215</v>
      </c>
      <c r="P57" s="371"/>
      <c r="Q57" s="371"/>
      <c r="R57" s="370" t="s">
        <v>223</v>
      </c>
      <c r="S57" s="370" t="s">
        <v>217</v>
      </c>
      <c r="T57" s="370" t="s">
        <v>218</v>
      </c>
      <c r="U57" s="372" t="s">
        <v>215</v>
      </c>
      <c r="V57" s="198" t="s">
        <v>240</v>
      </c>
    </row>
  </sheetData>
  <autoFilter ref="A11:N57" xr:uid="{BE8B9DD6-C48E-49B4-B8BB-6D4871740D80}">
    <filterColumn colId="11">
      <filters>
        <filter val="Mayors"/>
        <filter val="Mayors &amp; OREPA focal points"/>
        <filter val="Mayors &amp; Partner of Implementation"/>
        <filter val="Mayors &amp; Water service provider"/>
      </filters>
    </filterColumn>
  </autoFilter>
  <mergeCells count="19">
    <mergeCell ref="A5:C5"/>
    <mergeCell ref="F5:T5"/>
    <mergeCell ref="A1:C1"/>
    <mergeCell ref="A2:C2"/>
    <mergeCell ref="A3:C3"/>
    <mergeCell ref="A4:C4"/>
    <mergeCell ref="F4:T4"/>
    <mergeCell ref="V10:V11"/>
    <mergeCell ref="A6:C6"/>
    <mergeCell ref="F6:T6"/>
    <mergeCell ref="A7:C7"/>
    <mergeCell ref="F7:T7"/>
    <mergeCell ref="A8:C8"/>
    <mergeCell ref="F8:T8"/>
    <mergeCell ref="A10:C10"/>
    <mergeCell ref="D10:J10"/>
    <mergeCell ref="K10:O10"/>
    <mergeCell ref="P10:Q10"/>
    <mergeCell ref="R10:U10"/>
  </mergeCells>
  <hyperlinks>
    <hyperlink ref="K33" r:id="rId1" location="/forms/d97abfe8b83843dcb03c5b1d72e01f93/preview" xr:uid="{0EBA60AB-B74A-4C63-9AE6-4D281B227E63}"/>
    <hyperlink ref="R21" r:id="rId2" location="/forms/530fe4e5a09f42d0a96cef1b855a5241/preview" display="HANWASH household audit" xr:uid="{67A4A907-E495-41E6-8B5A-A852C1FB3025}"/>
    <hyperlink ref="K40" r:id="rId3" location="/forms/76ba0885e88a4c20b8686aa9204acd30" display="Implementation event tracking form" xr:uid="{2B35A899-1150-423E-99C4-7732CF4CDFC3}"/>
    <hyperlink ref="K14" r:id="rId4" location="/forms/76ba0885e88a4c20b8686aa9204acd30" xr:uid="{967E33CB-C428-4D0A-9E54-B4A3DBEC3B96}"/>
    <hyperlink ref="K16" r:id="rId5" location="/forms/76ba0885e88a4c20b8686aa9204acd30" xr:uid="{2BFD5D32-CE55-406D-94CE-117AA0603857}"/>
    <hyperlink ref="K19" r:id="rId6" location="/forms/76ba0885e88a4c20b8686aa9204acd30" xr:uid="{BF261AAA-11BF-4D68-8144-E75D4C6F120D}"/>
    <hyperlink ref="K21" r:id="rId7" location="/forms/fad15f51bbf44bb0bf9c36f08887c2dd" display="Water point survey (type &amp; functionality) + rapid community assessment (HH count)" xr:uid="{DA7726C1-96C4-4B5C-BA48-00F88E408A17}"/>
    <hyperlink ref="K23" r:id="rId8" location="/forms/d97abfe8b83843dcb03c5b1d72e01f93/preview" display="SAEP monthly report" xr:uid="{91DAB697-4C7F-40AD-81AB-04C38BDAC1AD}"/>
    <hyperlink ref="K27" r:id="rId9" location="/forms/d97abfe8b83843dcb03c5b1d72e01f93/preview" xr:uid="{CA29FCF9-2AA6-4A08-9AF1-74F5F1977517}"/>
    <hyperlink ref="K43" r:id="rId10" location="/forms/802cd40b8ada491eae959778d70597bf" xr:uid="{1B002335-AF44-48AB-8623-F4D2BD085FD1}"/>
    <hyperlink ref="K45" r:id="rId11" location="/forms/802cd40b8ada491eae959778d70597bf" xr:uid="{E9FE9B45-5A17-4ADD-BA01-1ADA7242FF58}"/>
    <hyperlink ref="K47" r:id="rId12" location="/forms/802cd40b8ada491eae959778d70597bf" xr:uid="{72CDBCDA-A640-456C-B7AB-42D104F125E5}"/>
    <hyperlink ref="K49" r:id="rId13" location="/forms/802cd40b8ada491eae959778d70597bf" xr:uid="{11609AF8-9BA1-469E-B9D5-529E806FCFE5}"/>
    <hyperlink ref="K44" r:id="rId14" location="/forms/b823db9a3c794e3bbfb204540990c2c8" xr:uid="{CDDC4B14-FFC6-4B10-AA2B-FE599DEC9CEE}"/>
    <hyperlink ref="K46" r:id="rId15" location="/forms/b823db9a3c794e3bbfb204540990c2c8" xr:uid="{89D53DF4-7906-402E-B4DC-F233E603ED0F}"/>
    <hyperlink ref="K48" r:id="rId16" location="/forms/b823db9a3c794e3bbfb204540990c2c8" xr:uid="{106C9B3F-9F35-4078-BEDB-CA4A4BD18C89}"/>
    <hyperlink ref="K50" r:id="rId17" location="/forms/b823db9a3c794e3bbfb204540990c2c8" xr:uid="{4849D6BA-2D15-4144-97D0-BBFFF4ABECD7}"/>
    <hyperlink ref="K32" r:id="rId18" location="/forms/fad15f51bbf44bb0bf9c36f08887c2dd" display="Water point survey (type &amp; functionality) + rapid community assessment (HH count)" xr:uid="{4CBFD1FA-04F4-4471-A264-74FF2E194EA4}"/>
    <hyperlink ref="K57" r:id="rId19" location="/forms/76ba0885e88a4c20b8686aa9204acd30" xr:uid="{A23942A1-1A4B-44DA-A9C9-48DEE1A95290}"/>
    <hyperlink ref="P17" r:id="rId20" location="/consoles/818a590d510e40728bc1e969aa98c0db?tab=e4139e54-32f5-49d7-872a-9c40004944f3" xr:uid="{4380E35F-3F33-45F9-AD2E-4D5EDA72C82B}"/>
    <hyperlink ref="P21" r:id="rId21" location="/forms/fad15f51bbf44bb0bf9c36f08887c2dd" display="Water point survey (type &amp; functionality) + rapid community assessment (HH count)" xr:uid="{B83FE15F-B456-420D-8C13-1D45FD72FD47}"/>
    <hyperlink ref="O21" r:id="rId22" location="/consoles/1d080c5b8c154825b446b267319a8288?tab=b96fe26a-1712-43b1-a86b-26e9f7b833b4" xr:uid="{AED80460-8187-4608-ABFA-271468487EA6}"/>
    <hyperlink ref="O17" r:id="rId23" location="/consoles/818a590d510e40728bc1e969aa98c0db?tab=e4139e54-32f5-49d7-872a-9c40004944f3" xr:uid="{23929170-66A9-4E37-B9B8-35881A4FD833}"/>
    <hyperlink ref="O29" r:id="rId24" location="/consoles/1d080c5b8c154825b446b267319a8288?tab=b96fe26a-1712-43b1-a86b-26e9f7b833b4" xr:uid="{E70C264F-70C9-4B69-B216-EDE7A99647D2}"/>
    <hyperlink ref="O30" r:id="rId25" location="/consoles/1d080c5b8c154825b446b267319a8288?tab=b96fe26a-1712-43b1-a86b-26e9f7b833b4" xr:uid="{438C2190-886D-4A79-939B-9003A20551B2}"/>
    <hyperlink ref="O36" r:id="rId26" location="/consoles/1d080c5b8c154825b446b267319a8288?tab=b96fe26a-1712-43b1-a86b-26e9f7b833b4" xr:uid="{61150733-A6E5-4EF7-8036-81C34BF7B0AC}"/>
    <hyperlink ref="O43" r:id="rId27" location="/consoles/1d080c5b8c154825b446b267319a8288?tab=b96fe26a-1712-43b1-a86b-26e9f7b833b4" xr:uid="{68C0367A-02C5-4920-9F70-D9F115874A81}"/>
    <hyperlink ref="O44" r:id="rId28" location="/consoles/1d080c5b8c154825b446b267319a8288?tab=b96fe26a-1712-43b1-a86b-26e9f7b833b4" xr:uid="{FC446CFB-F9A3-483F-A682-780C05327F38}"/>
    <hyperlink ref="O14" r:id="rId29" location="/consoles/1d080c5b8c154825b446b267319a8288?tab=b96fe26a-1712-43b1-a86b-26e9f7b833b4" xr:uid="{8A4A8204-319B-472D-9ABA-75D488987C93}"/>
    <hyperlink ref="O16" r:id="rId30" location="/consoles/1d080c5b8c154825b446b267319a8288?tab=b96fe26a-1712-43b1-a86b-26e9f7b833b4" xr:uid="{81BA3F1F-8242-43E6-B208-774FA109C6F7}"/>
    <hyperlink ref="O18" r:id="rId31" location="/consoles/818a590d510e40728bc1e969aa98c0db?tab=e4139e54-32f5-49d7-872a-9c40004944f3" xr:uid="{4BAA09A4-B593-46E6-9C3E-E354AD3EBEDF}"/>
    <hyperlink ref="O19" r:id="rId32" location="/consoles/1d080c5b8c154825b446b267319a8288?tab=b96fe26a-1712-43b1-a86b-26e9f7b833b4" xr:uid="{AE07B5DA-A1B0-42B5-9B0B-F825B6F76F3D}"/>
    <hyperlink ref="O23" r:id="rId33" location="/consoles/1d080c5b8c154825b446b267319a8288?tab=b96fe26a-1712-43b1-a86b-26e9f7b833b4" xr:uid="{40B5FEBB-B6F0-4814-BB69-85219E7230B3}"/>
    <hyperlink ref="O27" r:id="rId34" location="/consoles/1d080c5b8c154825b446b267319a8288?tab=b96fe26a-1712-43b1-a86b-26e9f7b833b4" xr:uid="{D3022905-7C40-4F78-B711-C43B79342446}"/>
    <hyperlink ref="O32" r:id="rId35" location="/consoles/1d080c5b8c154825b446b267319a8288?tab=b96fe26a-1712-43b1-a86b-26e9f7b833b4" xr:uid="{BF6E207F-2306-45BE-86B3-895B53D79120}"/>
    <hyperlink ref="O33" r:id="rId36" location="/consoles/1d080c5b8c154825b446b267319a8288?tab=b96fe26a-1712-43b1-a86b-26e9f7b833b4" xr:uid="{CB35B1CE-8B3A-4B4C-ACCC-74F1ED7A19A4}"/>
    <hyperlink ref="O37" r:id="rId37" location="/consoles/1d080c5b8c154825b446b267319a8288?tab=b96fe26a-1712-43b1-a86b-26e9f7b833b4" xr:uid="{35FAB146-4B3B-4E46-96FA-21399520865E}"/>
    <hyperlink ref="O40" r:id="rId38" location="/consoles/1d080c5b8c154825b446b267319a8288?tab=b96fe26a-1712-43b1-a86b-26e9f7b833b4" xr:uid="{90E809CF-7757-445A-B762-0A50B3E02A12}"/>
    <hyperlink ref="O42" r:id="rId39" location="/consoles/1d080c5b8c154825b446b267319a8288?tab=b96fe26a-1712-43b1-a86b-26e9f7b833b4" xr:uid="{69D9FEA1-4487-4B51-96EE-7028AA8797A3}"/>
    <hyperlink ref="O45" r:id="rId40" location="/consoles/1d080c5b8c154825b446b267319a8288?tab=b96fe26a-1712-43b1-a86b-26e9f7b833b4" xr:uid="{B61DD9F5-BA1D-4E7B-A6EE-D178BEEF6B25}"/>
    <hyperlink ref="O46" r:id="rId41" location="/consoles/1d080c5b8c154825b446b267319a8288?tab=b96fe26a-1712-43b1-a86b-26e9f7b833b4" xr:uid="{43B1DD27-0D63-4983-A80B-1BFF6DF9C768}"/>
    <hyperlink ref="O47" r:id="rId42" location="/consoles/1d080c5b8c154825b446b267319a8288?tab=b96fe26a-1712-43b1-a86b-26e9f7b833b4" xr:uid="{E3F963E7-C9F8-43C5-B5AC-2CF9003A2DCA}"/>
    <hyperlink ref="O48" r:id="rId43" location="/consoles/1d080c5b8c154825b446b267319a8288?tab=b96fe26a-1712-43b1-a86b-26e9f7b833b4" xr:uid="{115D91C6-18C8-4F4F-938C-C0CA6FFB2959}"/>
    <hyperlink ref="O49" r:id="rId44" location="/consoles/1d080c5b8c154825b446b267319a8288?tab=b96fe26a-1712-43b1-a86b-26e9f7b833b4" xr:uid="{DAB20836-2FCF-4F18-BFA4-73EC0CBA873D}"/>
    <hyperlink ref="O50" r:id="rId45" location="/consoles/1d080c5b8c154825b446b267319a8288?tab=b96fe26a-1712-43b1-a86b-26e9f7b833b4" xr:uid="{2E1B14CE-2617-41B2-9D3D-5CF094045DC4}"/>
    <hyperlink ref="O54" r:id="rId46" location="/consoles/818a590d510e40728bc1e969aa98c0db?tab=e4139e54-32f5-49d7-872a-9c40004944f3" xr:uid="{A7E79245-B4A6-4553-9340-DD3CB9B1C632}"/>
    <hyperlink ref="O55" r:id="rId47" location="/consoles/818a590d510e40728bc1e969aa98c0db?tab=e4139e54-32f5-49d7-872a-9c40004944f3" xr:uid="{BA6CDBBE-5210-47BB-9A04-0B796ECC0590}"/>
    <hyperlink ref="O57" r:id="rId48" location="/consoles/1d080c5b8c154825b446b267319a8288?tab=b96fe26a-1712-43b1-a86b-26e9f7b833b4" xr:uid="{6F9A8974-6FB1-4EEE-83B7-D809F39CB99E}"/>
    <hyperlink ref="U17" r:id="rId49" location="/consoles/818a590d510e40728bc1e969aa98c0db?tab=e4139e54-32f5-49d7-872a-9c40004944f3" xr:uid="{E5B8E6E0-A459-4493-B20F-F537F2672666}"/>
    <hyperlink ref="U14" r:id="rId50" location="/consoles/1d080c5b8c154825b446b267319a8288?tab=b96fe26a-1712-43b1-a86b-26e9f7b833b4" xr:uid="{6252428C-B050-4E1C-A0B5-63A48C9A18FA}"/>
    <hyperlink ref="U16" r:id="rId51" location="/consoles/1d080c5b8c154825b446b267319a8288?tab=b96fe26a-1712-43b1-a86b-26e9f7b833b4" xr:uid="{7C1F445B-0525-48B4-ADF6-E2DA0CFF13BB}"/>
    <hyperlink ref="U18" r:id="rId52" location="/consoles/818a590d510e40728bc1e969aa98c0db?tab=e4139e54-32f5-49d7-872a-9c40004944f3" xr:uid="{A299DFF6-189B-4680-8C07-A5208C25342E}"/>
    <hyperlink ref="R29" r:id="rId53" location="/forms/530fe4e5a09f42d0a96cef1b855a5241/preview" xr:uid="{D3673C18-7354-4B69-9A0C-3D7695F33ED9}"/>
    <hyperlink ref="R30" r:id="rId54" location="/forms/530fe4e5a09f42d0a96cef1b855a5241/preview" xr:uid="{AA236A54-B061-452A-8501-18141F3F2BAD}"/>
    <hyperlink ref="R36" r:id="rId55" location="/forms/530fe4e5a09f42d0a96cef1b855a5241/preview" xr:uid="{935E7709-ADBA-4479-BC08-42A968100BD5}"/>
    <hyperlink ref="R43" r:id="rId56" location="/forms/802cd40b8ada491eae959778d70597bf" xr:uid="{DC6A3DF9-FD9F-46D7-A8FD-492A8C83D82D}"/>
    <hyperlink ref="R44" r:id="rId57" location="/forms/b823db9a3c794e3bbfb204540990c2c8" xr:uid="{E6518CD7-2293-40B8-98F6-B3A0A89886B4}"/>
    <hyperlink ref="U23" r:id="rId58" location="/consoles/1d080c5b8c154825b446b267319a8288?tab=b96fe26a-1712-43b1-a86b-26e9f7b833b4" xr:uid="{7D14E22B-A5E3-4ECF-BEB4-E823723F5483}"/>
    <hyperlink ref="U27" r:id="rId59" location="/consoles/1d080c5b8c154825b446b267319a8288?tab=b96fe26a-1712-43b1-a86b-26e9f7b833b4" xr:uid="{BE23AB8C-50A9-4F7B-997C-A327520B2C65}"/>
    <hyperlink ref="R32" r:id="rId60" location="/forms/530fe4e5a09f42d0a96cef1b855a5241/preview" xr:uid="{22E4EF2B-AEE6-4ED9-A93D-3FD219DC084D}"/>
    <hyperlink ref="R33" r:id="rId61" location="/forms/530fe4e5a09f42d0a96cef1b855a5241/preview" xr:uid="{80962522-617C-4A69-B864-CEE8C7EAD9D4}"/>
    <hyperlink ref="R37" r:id="rId62" location="/forms/530fe4e5a09f42d0a96cef1b855a5241/preview" xr:uid="{F6B32282-02B2-4C17-9ABE-F908E1623CD2}"/>
    <hyperlink ref="U40" r:id="rId63" location="/consoles/1d080c5b8c154825b446b267319a8288?tab=b96fe26a-1712-43b1-a86b-26e9f7b833b4" xr:uid="{0377B0F8-AB86-4579-AD18-E40CC7AD71F5}"/>
    <hyperlink ref="U42" r:id="rId64" location="/consoles/1d080c5b8c154825b446b267319a8288?tab=b96fe26a-1712-43b1-a86b-26e9f7b833b4" xr:uid="{8416E30E-8599-43D2-B9E3-F4914056A1B4}"/>
    <hyperlink ref="R45" r:id="rId65" location="/forms/802cd40b8ada491eae959778d70597bf" xr:uid="{5A267F54-0889-40B8-A778-44ED3D2C0E5F}"/>
    <hyperlink ref="R47" r:id="rId66" location="/forms/802cd40b8ada491eae959778d70597bf" xr:uid="{40FE3257-0956-432D-8255-8AAED54B5DFB}"/>
    <hyperlink ref="R49" r:id="rId67" location="/forms/802cd40b8ada491eae959778d70597bf" xr:uid="{B66D705F-60D6-458A-BE65-516FE13A3624}"/>
    <hyperlink ref="R46" r:id="rId68" location="/forms/b823db9a3c794e3bbfb204540990c2c8" xr:uid="{B26FB0F5-DBAB-4E16-8834-8CC4CEE7AACE}"/>
    <hyperlink ref="R48" r:id="rId69" location="/forms/b823db9a3c794e3bbfb204540990c2c8" xr:uid="{C0FEF883-FF77-4FCB-A2D2-C3472F7728B1}"/>
    <hyperlink ref="R50" r:id="rId70" location="/forms/b823db9a3c794e3bbfb204540990c2c8" xr:uid="{3D2DEEE5-0827-4C76-9E79-AD6B44D77004}"/>
    <hyperlink ref="U52" r:id="rId71" location="/consoles/818a590d510e40728bc1e969aa98c0db?tab=e4139e54-32f5-49d7-872a-9c40004944f3" xr:uid="{737256BC-62FD-4C2E-B15E-DD62217CD238}"/>
    <hyperlink ref="U54" r:id="rId72" location="/consoles/818a590d510e40728bc1e969aa98c0db?tab=e4139e54-32f5-49d7-872a-9c40004944f3" xr:uid="{22EC5040-70D7-4405-9DDD-8A4746445F8D}"/>
    <hyperlink ref="U55" r:id="rId73" location="/consoles/818a590d510e40728bc1e969aa98c0db?tab=e4139e54-32f5-49d7-872a-9c40004944f3" xr:uid="{69766110-DCD2-46F4-84F0-2C998ECA4A80}"/>
    <hyperlink ref="U57" r:id="rId74" location="/consoles/1d080c5b8c154825b446b267319a8288?tab=b96fe26a-1712-43b1-a86b-26e9f7b833b4" xr:uid="{7612434E-6B6C-4342-8A4C-FE3A6AF3373D}"/>
    <hyperlink ref="U19" r:id="rId75" location="/consoles/1d080c5b8c154825b446b267319a8288?tab=b96fe26a-1712-43b1-a86b-26e9f7b833b4" xr:uid="{1558C953-919C-4255-BFAD-3BC717D4FA87}"/>
    <hyperlink ref="A5" r:id="rId76" xr:uid="{7F9FBE62-0B3E-4F8F-90E6-69FC919977B2}"/>
    <hyperlink ref="O38" r:id="rId77" location="/consoles/1d080c5b8c154825b446b267319a8288?tab=b96fe26a-1712-43b1-a86b-26e9f7b833b4" xr:uid="{1FA45587-D4EB-4847-829E-73871DDBFC1C}"/>
    <hyperlink ref="R38" r:id="rId78" location="/forms/530fe4e5a09f42d0a96cef1b855a5241/preview" xr:uid="{38CBCA88-FD9B-4561-B2A5-1F6F0C758373}"/>
    <hyperlink ref="K35" r:id="rId79" location="/forms/e045ce2509964909bed52a842b28dffd" display="ODF verification and certification" xr:uid="{1B79A827-0161-44FD-90A8-FAC6AADC7685}"/>
    <hyperlink ref="O35" r:id="rId80" location="/consoles/1d080c5b8c154825b446b267319a8288?tab=b96fe26a-1712-43b1-a86b-26e9f7b833b4" xr:uid="{FE8F214A-F408-4ABF-83B2-F8718D671F1A}"/>
    <hyperlink ref="R35" r:id="rId81" location="/forms/530fe4e5a09f42d0a96cef1b855a5241/preview" xr:uid="{3EE57180-8409-40EA-890F-9281FF6E5B64}"/>
    <hyperlink ref="O34" r:id="rId82" location="/consoles/1d080c5b8c154825b446b267319a8288?tab=b96fe26a-1712-43b1-a86b-26e9f7b833b4" xr:uid="{D3BFDBE1-3E4B-4682-8341-3851195B6CFA}"/>
    <hyperlink ref="R34" r:id="rId83" location="/forms/530fe4e5a09f42d0a96cef1b855a5241/preview" xr:uid="{E7DD2DDB-F764-442C-8DFF-13E84C1C2DE5}"/>
    <hyperlink ref="O39" r:id="rId84" location="/consoles/1d080c5b8c154825b446b267319a8288?tab=b96fe26a-1712-43b1-a86b-26e9f7b833b4" xr:uid="{0BE9C6F5-6346-4F67-AEA9-11BFA8345DDB}"/>
    <hyperlink ref="R39" r:id="rId85" location="/forms/530fe4e5a09f42d0a96cef1b855a5241/preview" xr:uid="{95A054E7-1815-4F31-9E73-7DD62386DEF2}"/>
    <hyperlink ref="K34" r:id="rId86" location="/forms/2bd65fbd2daf4064ac60694210797595" display="Rapid community assessment" xr:uid="{3AEB7BFB-2514-4C96-B9AB-FA6921C16844}"/>
    <hyperlink ref="K39" r:id="rId87" location="/forms/530fe4e5a09f42d0a96cef1b855a5241/preview" xr:uid="{D87D6CF7-E7E4-43EF-A6DD-480F860D7AE7}"/>
    <hyperlink ref="K36" r:id="rId88" location="/forms/530fe4e5a09f42d0a96cef1b855a5241/preview" xr:uid="{15D8E9FD-8DAA-4505-96B5-C52757DFBD92}"/>
    <hyperlink ref="K30" r:id="rId89" location="/forms/530fe4e5a09f42d0a96cef1b855a5241/preview" xr:uid="{259B0BD8-5D3C-4264-A9C6-56619AA5E4D6}"/>
    <hyperlink ref="K29" r:id="rId90" location="/forms/530fe4e5a09f42d0a96cef1b855a5241/preview" xr:uid="{E07E9DAA-BAAF-4E44-9264-6FC612571255}"/>
    <hyperlink ref="K37" r:id="rId91" location="/forms/530fe4e5a09f42d0a96cef1b855a5241/preview" xr:uid="{8E773B2A-CB1B-4186-BA40-E129222BB743}"/>
    <hyperlink ref="K42" r:id="rId92" location="/forms/e045ce2509964909bed52a842b28dffd" display="ODF verification and certification" xr:uid="{F561CDBF-072F-4AB7-A2A2-CCD65A409E10}"/>
    <hyperlink ref="O20" r:id="rId93" location="/consoles/1d080c5b8c154825b446b267319a8288?tab=b96fe26a-1712-43b1-a86b-26e9f7b833b4" xr:uid="{3F34F2B2-E79E-450F-AA22-CFDEAA8BEA11}"/>
    <hyperlink ref="R20" r:id="rId94" location="/forms/530fe4e5a09f42d0a96cef1b855a5241/preview" display="HANWASH household audit" xr:uid="{9187DC85-A512-4713-B9B2-146593CE72B4}"/>
    <hyperlink ref="K31" r:id="rId95" location="/forms/fad15f51bbf44bb0bf9c36f08887c2dd" display="Water point survey (type &amp; functionality) + rapid community assessment (HH count)" xr:uid="{5C112BE5-C718-435B-AD4F-E08977D1B9C6}"/>
    <hyperlink ref="O31" r:id="rId96" location="/consoles/1d080c5b8c154825b446b267319a8288?tab=b96fe26a-1712-43b1-a86b-26e9f7b833b4" xr:uid="{120C135F-98F8-449E-BBF7-1018AE593B1C}"/>
    <hyperlink ref="R31" r:id="rId97" location="/forms/530fe4e5a09f42d0a96cef1b855a5241/preview" display="HANWASH household audit" xr:uid="{1F3AE2E3-7331-4F35-BFEC-06B66B87B097}"/>
    <hyperlink ref="K56" r:id="rId98" location="/tables/ts109/t6" xr:uid="{03C5F5F8-B5B8-495F-91D5-FD3B0702AC1E}"/>
    <hyperlink ref="O53" r:id="rId99" location="/consoles/818a590d510e40728bc1e969aa98c0db?tab=e4139e54-32f5-49d7-872a-9c40004944f3" xr:uid="{9030C69B-25A3-4F6E-A8A0-D460589DA21C}"/>
    <hyperlink ref="O52" r:id="rId100" location="/consoles/818a590d510e40728bc1e969aa98c0db?tab=e4139e54-32f5-49d7-872a-9c40004944f3" xr:uid="{351D8741-4063-4AC2-8C3B-1A73B5AF06A4}"/>
    <hyperlink ref="K22" r:id="rId101" location="/forms/fad15f51bbf44bb0bf9c36f08887c2dd" display="Water point survey (type &amp; functionality) + rapid community assessment (HH count)" xr:uid="{9887991C-5933-4ABF-ACFC-2F042644D87B}"/>
    <hyperlink ref="O22" r:id="rId102" location="/consoles/1d080c5b8c154825b446b267319a8288?tab=b96fe26a-1712-43b1-a86b-26e9f7b833b4" xr:uid="{C913CAFE-5CED-4E98-8299-249FD181DFAA}"/>
    <hyperlink ref="P22" r:id="rId103" location="/forms/530fe4e5a09f42d0a96cef1b855a5241/preview" display="HANWASH household audit" xr:uid="{B97CC30B-F116-4E95-BCEC-5141EFD334CA}"/>
    <hyperlink ref="K15" r:id="rId104" location="/forms/76ba0885e88a4c20b8686aa9204acd30" xr:uid="{70F3A811-778E-4C25-B33E-0A165329E296}"/>
    <hyperlink ref="O15" r:id="rId105" location="/consoles/1d080c5b8c154825b446b267319a8288?tab=b96fe26a-1712-43b1-a86b-26e9f7b833b4" xr:uid="{899EA807-02D6-4FBD-ACD6-5B29741DAC93}"/>
    <hyperlink ref="K41" r:id="rId106" location="/forms/76ba0885e88a4c20b8686aa9204acd30" display="Implementation event tracking form" xr:uid="{E1E818E2-4F5F-48AD-8F19-70609D4D98DD}"/>
    <hyperlink ref="O41" r:id="rId107" location="/consoles/1d080c5b8c154825b446b267319a8288?tab=b96fe26a-1712-43b1-a86b-26e9f7b833b4" xr:uid="{3C9F0ACC-0BE9-4BB9-8FE7-89F6DC7F68C9}"/>
    <hyperlink ref="U41" r:id="rId108" location="/consoles/1d080c5b8c154825b446b267319a8288?tab=b96fe26a-1712-43b1-a86b-26e9f7b833b4" xr:uid="{BC12E21F-2D17-461A-95C8-1715E77C2980}"/>
    <hyperlink ref="K24" r:id="rId109" location="/forms/d97abfe8b83843dcb03c5b1d72e01f93/preview" display="SAEP monthly report" xr:uid="{6C2B9B7F-7496-41C9-9EB4-41C387FE9926}"/>
    <hyperlink ref="O24" r:id="rId110" location="/consoles/1d080c5b8c154825b446b267319a8288?tab=b96fe26a-1712-43b1-a86b-26e9f7b833b4" xr:uid="{4E4F65A0-191C-41CE-8D22-68862D59D676}"/>
    <hyperlink ref="U24" r:id="rId111" location="/consoles/1d080c5b8c154825b446b267319a8288?tab=b96fe26a-1712-43b1-a86b-26e9f7b833b4" xr:uid="{C6462F99-044B-4FA5-ADBE-63DB14AE0512}"/>
  </hyperlinks>
  <pageMargins left="0.7" right="0.7" top="0.75" bottom="0.75" header="0.3" footer="0.3"/>
  <pageSetup fitToWidth="0" orientation="portrait"/>
  <legacyDrawing r:id="rId11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351C0-F4F0-47F3-A804-0B27EC39C331}">
  <sheetPr filterMode="1">
    <pageSetUpPr fitToPage="1"/>
  </sheetPr>
  <dimension ref="A1:AF57"/>
  <sheetViews>
    <sheetView topLeftCell="F36" zoomScale="88" zoomScaleNormal="88" workbookViewId="0">
      <selection activeCell="L40" sqref="L40"/>
    </sheetView>
  </sheetViews>
  <sheetFormatPr defaultColWidth="11" defaultRowHeight="15.75" customHeight="1"/>
  <cols>
    <col min="1" max="1" width="19.375" style="20" customWidth="1"/>
    <col min="2" max="2" width="7.375" style="7" customWidth="1"/>
    <col min="3" max="3" width="52.125" style="43" customWidth="1"/>
    <col min="4" max="4" width="12.75" style="8" bestFit="1" customWidth="1"/>
    <col min="5" max="5" width="71.125" style="7" customWidth="1"/>
    <col min="6" max="6" width="71.5" style="7" customWidth="1"/>
    <col min="7" max="7" width="17.625" customWidth="1"/>
    <col min="8" max="9" width="11.875" style="7" hidden="1" customWidth="1"/>
    <col min="10" max="10" width="18.625" style="20" customWidth="1"/>
    <col min="11" max="11" width="15" style="20" customWidth="1"/>
    <col min="12" max="12" width="12.25" style="20" customWidth="1"/>
    <col min="13" max="13" width="18.25" style="20" hidden="1" customWidth="1"/>
    <col min="14" max="14" width="18.625" style="20" customWidth="1"/>
    <col min="15" max="15" width="15.5" style="20" hidden="1" customWidth="1"/>
    <col min="16" max="17" width="26.625" hidden="1" customWidth="1"/>
    <col min="18" max="18" width="22.125" style="20" hidden="1" customWidth="1"/>
    <col min="19" max="19" width="21.125" style="20" customWidth="1"/>
    <col min="20" max="20" width="18.125" style="20" customWidth="1"/>
    <col min="21" max="21" width="20" style="20" hidden="1" customWidth="1"/>
    <col min="22" max="22" width="87" style="20" hidden="1" customWidth="1"/>
  </cols>
  <sheetData>
    <row r="1" spans="1:22" ht="15.6">
      <c r="A1" s="456" t="s">
        <v>173</v>
      </c>
      <c r="B1" s="456"/>
      <c r="C1" s="456"/>
      <c r="E1" s="74" t="s">
        <v>174</v>
      </c>
      <c r="F1" s="75"/>
      <c r="G1" s="75"/>
      <c r="H1" s="75"/>
      <c r="I1" s="75"/>
      <c r="J1" s="80"/>
      <c r="K1" s="80"/>
      <c r="L1" s="80"/>
      <c r="M1" s="80"/>
      <c r="N1" s="80"/>
      <c r="O1" s="80"/>
      <c r="P1" s="81"/>
      <c r="Q1" s="81"/>
      <c r="R1" s="80"/>
    </row>
    <row r="2" spans="1:22" ht="15.6">
      <c r="A2" s="457" t="s">
        <v>175</v>
      </c>
      <c r="B2" s="457"/>
      <c r="C2" s="457"/>
      <c r="E2" s="94" t="s">
        <v>176</v>
      </c>
      <c r="F2" s="77" t="str">
        <f>"'-' Not applicable"</f>
        <v>'-' Not applicable</v>
      </c>
    </row>
    <row r="3" spans="1:22" ht="15.95" thickBot="1">
      <c r="A3" s="456" t="s">
        <v>177</v>
      </c>
      <c r="B3" s="456"/>
      <c r="C3" s="456"/>
      <c r="E3" s="72"/>
      <c r="F3" s="73"/>
      <c r="G3" s="78"/>
      <c r="H3" s="73"/>
      <c r="I3" s="73"/>
      <c r="J3" s="79"/>
      <c r="K3" s="79"/>
      <c r="L3" s="79"/>
      <c r="M3" s="79"/>
      <c r="N3" s="79"/>
      <c r="O3" s="79"/>
      <c r="P3" s="78"/>
      <c r="Q3" s="78"/>
      <c r="R3" s="79"/>
      <c r="S3" s="79"/>
      <c r="T3" s="79"/>
    </row>
    <row r="4" spans="1:22" ht="15.6">
      <c r="A4" s="445" t="s">
        <v>178</v>
      </c>
      <c r="B4" s="445"/>
      <c r="C4" s="445"/>
      <c r="E4" s="76" t="s">
        <v>179</v>
      </c>
      <c r="F4" s="456" t="s">
        <v>9</v>
      </c>
      <c r="G4" s="456"/>
      <c r="H4" s="456"/>
      <c r="I4" s="456"/>
      <c r="J4" s="456"/>
      <c r="K4" s="458"/>
      <c r="L4" s="458"/>
      <c r="M4" s="458"/>
      <c r="N4" s="456"/>
      <c r="O4" s="458"/>
      <c r="P4" s="456"/>
      <c r="Q4" s="456"/>
      <c r="R4" s="458"/>
      <c r="S4" s="458"/>
      <c r="T4" s="458"/>
    </row>
    <row r="5" spans="1:22" ht="15.6">
      <c r="A5" s="455" t="s">
        <v>180</v>
      </c>
      <c r="B5" s="455"/>
      <c r="C5" s="455"/>
      <c r="E5" s="387" t="s">
        <v>10</v>
      </c>
      <c r="F5" s="445" t="s">
        <v>181</v>
      </c>
      <c r="G5" s="445"/>
      <c r="H5" s="445"/>
      <c r="I5" s="445"/>
      <c r="J5" s="445"/>
      <c r="K5" s="445"/>
      <c r="L5" s="445"/>
      <c r="M5" s="445"/>
      <c r="N5" s="445"/>
      <c r="O5" s="445"/>
      <c r="P5" s="445"/>
      <c r="Q5" s="445"/>
      <c r="R5" s="445"/>
      <c r="S5" s="445"/>
      <c r="T5" s="445"/>
    </row>
    <row r="6" spans="1:22" ht="15.6">
      <c r="A6" s="444" t="s">
        <v>182</v>
      </c>
      <c r="B6" s="445"/>
      <c r="C6" s="445"/>
      <c r="E6" s="388" t="s">
        <v>37</v>
      </c>
      <c r="F6" s="445" t="s">
        <v>183</v>
      </c>
      <c r="G6" s="445"/>
      <c r="H6" s="445"/>
      <c r="I6" s="445"/>
      <c r="J6" s="445"/>
      <c r="K6" s="446"/>
      <c r="L6" s="446"/>
      <c r="M6" s="446"/>
      <c r="N6" s="445"/>
      <c r="O6" s="446"/>
      <c r="P6" s="445"/>
      <c r="Q6" s="445"/>
      <c r="R6" s="446"/>
      <c r="S6" s="446"/>
      <c r="T6" s="446"/>
    </row>
    <row r="7" spans="1:22" ht="15.6">
      <c r="A7" s="444" t="s">
        <v>184</v>
      </c>
      <c r="B7" s="445"/>
      <c r="C7" s="445"/>
      <c r="E7" s="389" t="s">
        <v>40</v>
      </c>
      <c r="F7" s="445" t="s">
        <v>185</v>
      </c>
      <c r="G7" s="445"/>
      <c r="H7" s="445"/>
      <c r="I7" s="445"/>
      <c r="J7" s="445"/>
      <c r="K7" s="446"/>
      <c r="L7" s="446"/>
      <c r="M7" s="446"/>
      <c r="N7" s="445"/>
      <c r="O7" s="446"/>
      <c r="P7" s="445"/>
      <c r="Q7" s="445"/>
      <c r="R7" s="446"/>
      <c r="S7" s="446"/>
      <c r="T7" s="446"/>
    </row>
    <row r="8" spans="1:22" ht="38.25" customHeight="1">
      <c r="A8" s="447" t="s">
        <v>186</v>
      </c>
      <c r="B8" s="447"/>
      <c r="C8" s="447"/>
      <c r="E8" s="4" t="s">
        <v>187</v>
      </c>
      <c r="F8" s="448" t="s">
        <v>188</v>
      </c>
      <c r="G8" s="448"/>
      <c r="H8" s="448"/>
      <c r="I8" s="448"/>
      <c r="J8" s="448"/>
      <c r="K8" s="449"/>
      <c r="L8" s="449"/>
      <c r="M8" s="449"/>
      <c r="N8" s="448"/>
      <c r="O8" s="449"/>
      <c r="P8" s="448"/>
      <c r="Q8" s="448"/>
      <c r="R8" s="449"/>
      <c r="S8" s="449"/>
      <c r="T8" s="449"/>
    </row>
    <row r="9" spans="1:22" ht="15.75" customHeight="1" thickBot="1"/>
    <row r="10" spans="1:22" ht="15.95" customHeight="1">
      <c r="A10" s="450" t="s">
        <v>189</v>
      </c>
      <c r="B10" s="451"/>
      <c r="C10" s="451"/>
      <c r="D10" s="452" t="s">
        <v>28</v>
      </c>
      <c r="E10" s="452"/>
      <c r="F10" s="452"/>
      <c r="G10" s="452"/>
      <c r="H10" s="452"/>
      <c r="I10" s="452"/>
      <c r="J10" s="452"/>
      <c r="K10" s="452" t="s">
        <v>190</v>
      </c>
      <c r="L10" s="452"/>
      <c r="M10" s="452"/>
      <c r="N10" s="453"/>
      <c r="O10" s="452"/>
      <c r="P10" s="453" t="s">
        <v>191</v>
      </c>
      <c r="Q10" s="453"/>
      <c r="R10" s="452" t="s">
        <v>192</v>
      </c>
      <c r="S10" s="452"/>
      <c r="T10" s="452"/>
      <c r="U10" s="454"/>
      <c r="V10" s="442" t="s">
        <v>193</v>
      </c>
    </row>
    <row r="11" spans="1:22" ht="15.6">
      <c r="A11" s="355" t="s">
        <v>8</v>
      </c>
      <c r="B11" s="337" t="s">
        <v>194</v>
      </c>
      <c r="C11" s="337" t="s">
        <v>9</v>
      </c>
      <c r="D11" s="324" t="s">
        <v>195</v>
      </c>
      <c r="E11" s="338" t="s">
        <v>9</v>
      </c>
      <c r="F11" s="338" t="s">
        <v>29</v>
      </c>
      <c r="G11" s="324" t="s">
        <v>30</v>
      </c>
      <c r="H11" s="338" t="s">
        <v>196</v>
      </c>
      <c r="I11" s="338" t="s">
        <v>197</v>
      </c>
      <c r="J11" s="338" t="s">
        <v>198</v>
      </c>
      <c r="K11" s="324" t="s">
        <v>199</v>
      </c>
      <c r="L11" s="324" t="s">
        <v>200</v>
      </c>
      <c r="M11" s="324" t="s">
        <v>201</v>
      </c>
      <c r="N11" s="324" t="s">
        <v>202</v>
      </c>
      <c r="O11" s="324" t="s">
        <v>203</v>
      </c>
      <c r="P11" s="325" t="s">
        <v>204</v>
      </c>
      <c r="Q11" s="325" t="s">
        <v>190</v>
      </c>
      <c r="R11" s="324" t="s">
        <v>199</v>
      </c>
      <c r="S11" s="324" t="s">
        <v>205</v>
      </c>
      <c r="T11" s="324" t="s">
        <v>206</v>
      </c>
      <c r="U11" s="356" t="s">
        <v>203</v>
      </c>
      <c r="V11" s="443"/>
    </row>
    <row r="12" spans="1:22" ht="34.5" hidden="1" customHeight="1">
      <c r="A12" s="390" t="s">
        <v>10</v>
      </c>
      <c r="B12" s="391">
        <v>1</v>
      </c>
      <c r="C12" s="392" t="str">
        <f>'Log frame'!B13</f>
        <v>Increased access to safe, sustainable and affordable water, sanitation and hygiene (WASH) services in Haiti​.</v>
      </c>
      <c r="D12" s="392" t="s">
        <v>36</v>
      </c>
      <c r="E12" s="392" t="s">
        <v>36</v>
      </c>
      <c r="F12" s="392" t="s">
        <v>36</v>
      </c>
      <c r="G12" s="392" t="s">
        <v>36</v>
      </c>
      <c r="H12" s="326" t="s">
        <v>36</v>
      </c>
      <c r="I12" s="326" t="str">
        <f>"Mattson"</f>
        <v>Mattson</v>
      </c>
      <c r="J12" s="392" t="s">
        <v>36</v>
      </c>
      <c r="K12" s="392" t="s">
        <v>36</v>
      </c>
      <c r="L12" s="392" t="s">
        <v>36</v>
      </c>
      <c r="M12" s="326"/>
      <c r="N12" s="392" t="s">
        <v>36</v>
      </c>
      <c r="O12" s="326" t="s">
        <v>36</v>
      </c>
      <c r="P12" s="326" t="s">
        <v>36</v>
      </c>
      <c r="Q12" s="326" t="s">
        <v>36</v>
      </c>
      <c r="R12" s="326" t="s">
        <v>36</v>
      </c>
      <c r="S12" s="392" t="s">
        <v>36</v>
      </c>
      <c r="T12" s="392" t="s">
        <v>36</v>
      </c>
      <c r="U12" s="358" t="s">
        <v>36</v>
      </c>
      <c r="V12" s="136" t="s">
        <v>207</v>
      </c>
    </row>
    <row r="13" spans="1:22" ht="34.5" hidden="1" customHeight="1">
      <c r="A13" s="393" t="s">
        <v>37</v>
      </c>
      <c r="B13" s="394">
        <v>1000</v>
      </c>
      <c r="C13" s="395" t="str">
        <f>'Log frame'!B15</f>
        <v>Strengthened demand for and management of WASH services in communes.</v>
      </c>
      <c r="D13" s="395" t="s">
        <v>36</v>
      </c>
      <c r="E13" s="395" t="s">
        <v>36</v>
      </c>
      <c r="F13" s="395" t="s">
        <v>36</v>
      </c>
      <c r="G13" s="395" t="s">
        <v>36</v>
      </c>
      <c r="H13" s="326" t="s">
        <v>36</v>
      </c>
      <c r="I13" s="326" t="str">
        <f t="shared" ref="I13:I57" si="0">"Mattson"</f>
        <v>Mattson</v>
      </c>
      <c r="J13" s="395" t="s">
        <v>36</v>
      </c>
      <c r="K13" s="395" t="s">
        <v>36</v>
      </c>
      <c r="L13" s="395" t="s">
        <v>36</v>
      </c>
      <c r="M13" s="326"/>
      <c r="N13" s="395" t="s">
        <v>36</v>
      </c>
      <c r="O13" s="326" t="s">
        <v>36</v>
      </c>
      <c r="P13" s="326" t="s">
        <v>36</v>
      </c>
      <c r="Q13" s="326" t="s">
        <v>36</v>
      </c>
      <c r="R13" s="326" t="s">
        <v>36</v>
      </c>
      <c r="S13" s="395" t="s">
        <v>36</v>
      </c>
      <c r="T13" s="395" t="s">
        <v>36</v>
      </c>
      <c r="U13" s="358" t="s">
        <v>36</v>
      </c>
      <c r="V13" s="136" t="s">
        <v>207</v>
      </c>
    </row>
    <row r="14" spans="1:22" ht="34.5" hidden="1" customHeight="1">
      <c r="A14" s="399" t="s">
        <v>40</v>
      </c>
      <c r="B14" s="400">
        <v>1100</v>
      </c>
      <c r="C14" s="401" t="str">
        <f>'Log frame'!B17</f>
        <v>Increased civil society engagement in decision making and implementation of WASH services.</v>
      </c>
      <c r="D14" s="402" t="s">
        <v>39</v>
      </c>
      <c r="E14" s="401" t="s">
        <v>208</v>
      </c>
      <c r="F14" s="401" t="s">
        <v>42</v>
      </c>
      <c r="G14" s="401" t="s">
        <v>43</v>
      </c>
      <c r="H14" s="326" t="s">
        <v>209</v>
      </c>
      <c r="I14" s="326" t="str">
        <f t="shared" si="0"/>
        <v>Mattson</v>
      </c>
      <c r="J14" s="401" t="s">
        <v>210</v>
      </c>
      <c r="K14" s="403" t="s">
        <v>211</v>
      </c>
      <c r="L14" s="404" t="s">
        <v>212</v>
      </c>
      <c r="M14" s="341" t="s">
        <v>213</v>
      </c>
      <c r="N14" s="405" t="s">
        <v>214</v>
      </c>
      <c r="O14" s="333" t="s">
        <v>215</v>
      </c>
      <c r="P14" s="294"/>
      <c r="Q14" s="294"/>
      <c r="R14" s="341" t="s">
        <v>216</v>
      </c>
      <c r="S14" s="404" t="s">
        <v>217</v>
      </c>
      <c r="T14" s="404" t="s">
        <v>218</v>
      </c>
      <c r="U14" s="359" t="s">
        <v>215</v>
      </c>
      <c r="V14" s="334" t="s">
        <v>219</v>
      </c>
    </row>
    <row r="15" spans="1:22" ht="34.5" hidden="1" customHeight="1">
      <c r="A15" s="399" t="s">
        <v>40</v>
      </c>
      <c r="B15" s="400">
        <v>1100</v>
      </c>
      <c r="C15" s="401" t="s">
        <v>41</v>
      </c>
      <c r="D15" s="402" t="s">
        <v>44</v>
      </c>
      <c r="E15" s="401" t="s">
        <v>220</v>
      </c>
      <c r="F15" s="401" t="s">
        <v>45</v>
      </c>
      <c r="G15" s="401" t="s">
        <v>46</v>
      </c>
      <c r="H15" s="326" t="s">
        <v>221</v>
      </c>
      <c r="I15" s="326" t="s">
        <v>222</v>
      </c>
      <c r="J15" s="401" t="s">
        <v>210</v>
      </c>
      <c r="K15" s="403" t="s">
        <v>211</v>
      </c>
      <c r="L15" s="404" t="s">
        <v>212</v>
      </c>
      <c r="M15" s="341" t="s">
        <v>213</v>
      </c>
      <c r="N15" s="405" t="s">
        <v>214</v>
      </c>
      <c r="O15" s="333" t="s">
        <v>215</v>
      </c>
      <c r="P15" s="341" t="s">
        <v>223</v>
      </c>
      <c r="Q15" s="341" t="s">
        <v>217</v>
      </c>
      <c r="R15" s="341" t="s">
        <v>224</v>
      </c>
      <c r="S15" s="404" t="s">
        <v>217</v>
      </c>
      <c r="T15" s="404" t="s">
        <v>218</v>
      </c>
      <c r="U15" s="360" t="s">
        <v>215</v>
      </c>
      <c r="V15" s="335"/>
    </row>
    <row r="16" spans="1:22" ht="48.6" hidden="1" customHeight="1">
      <c r="A16" s="357" t="s">
        <v>16</v>
      </c>
      <c r="B16" s="339">
        <v>1110</v>
      </c>
      <c r="C16" s="342" t="s">
        <v>48</v>
      </c>
      <c r="D16" s="340" t="s">
        <v>47</v>
      </c>
      <c r="E16" s="326" t="s">
        <v>225</v>
      </c>
      <c r="F16" s="326" t="s">
        <v>49</v>
      </c>
      <c r="G16" s="330" t="s">
        <v>50</v>
      </c>
      <c r="H16" s="326" t="s">
        <v>209</v>
      </c>
      <c r="I16" s="326" t="str">
        <f t="shared" si="0"/>
        <v>Mattson</v>
      </c>
      <c r="J16" s="326" t="s">
        <v>210</v>
      </c>
      <c r="K16" s="333" t="s">
        <v>211</v>
      </c>
      <c r="L16" s="343" t="s">
        <v>212</v>
      </c>
      <c r="M16" s="343" t="s">
        <v>213</v>
      </c>
      <c r="N16" s="330" t="s">
        <v>214</v>
      </c>
      <c r="O16" s="333" t="s">
        <v>215</v>
      </c>
      <c r="P16" s="294"/>
      <c r="Q16" s="294"/>
      <c r="R16" s="329" t="s">
        <v>223</v>
      </c>
      <c r="S16" s="341" t="s">
        <v>217</v>
      </c>
      <c r="T16" s="341" t="s">
        <v>218</v>
      </c>
      <c r="U16" s="359" t="s">
        <v>215</v>
      </c>
      <c r="V16" s="336" t="s">
        <v>219</v>
      </c>
    </row>
    <row r="17" spans="1:22" ht="34.5" hidden="1" customHeight="1">
      <c r="A17" s="399" t="s">
        <v>40</v>
      </c>
      <c r="B17" s="401">
        <v>1200</v>
      </c>
      <c r="C17" s="402" t="str">
        <f>'Log frame'!C17</f>
        <v>Improved commune WASH planning and coordination by local authorities.​</v>
      </c>
      <c r="D17" s="402" t="s">
        <v>51</v>
      </c>
      <c r="E17" s="401" t="s">
        <v>226</v>
      </c>
      <c r="F17" s="401" t="s">
        <v>53</v>
      </c>
      <c r="G17" s="401" t="s">
        <v>54</v>
      </c>
      <c r="H17" s="339" t="s">
        <v>227</v>
      </c>
      <c r="I17" s="339" t="str">
        <f t="shared" si="0"/>
        <v>Mattson</v>
      </c>
      <c r="J17" s="401" t="s">
        <v>228</v>
      </c>
      <c r="K17" s="403" t="s">
        <v>229</v>
      </c>
      <c r="L17" s="405" t="s">
        <v>230</v>
      </c>
      <c r="M17" s="330" t="s">
        <v>213</v>
      </c>
      <c r="N17" s="401" t="s">
        <v>218</v>
      </c>
      <c r="O17" s="333" t="s">
        <v>231</v>
      </c>
      <c r="P17" s="344" t="s">
        <v>232</v>
      </c>
      <c r="Q17" s="294" t="s">
        <v>233</v>
      </c>
      <c r="R17" s="294" t="s">
        <v>223</v>
      </c>
      <c r="S17" s="404" t="s">
        <v>217</v>
      </c>
      <c r="T17" s="404" t="s">
        <v>218</v>
      </c>
      <c r="U17" s="359" t="s">
        <v>231</v>
      </c>
      <c r="V17" s="320" t="s">
        <v>234</v>
      </c>
    </row>
    <row r="18" spans="1:22" ht="34.5" hidden="1" customHeight="1">
      <c r="A18" s="357" t="s">
        <v>16</v>
      </c>
      <c r="B18" s="339">
        <v>1210</v>
      </c>
      <c r="C18" s="345" t="str">
        <f>'Log frame'!C19</f>
        <v>Create or improve commune action plans that focus on water, sanitation and hygiene, and water resource management.​</v>
      </c>
      <c r="D18" s="340" t="s">
        <v>55</v>
      </c>
      <c r="E18" s="346" t="s">
        <v>235</v>
      </c>
      <c r="F18" s="326" t="s">
        <v>57</v>
      </c>
      <c r="G18" s="330" t="s">
        <v>58</v>
      </c>
      <c r="H18" s="339" t="s">
        <v>227</v>
      </c>
      <c r="I18" s="339" t="str">
        <f t="shared" si="0"/>
        <v>Mattson</v>
      </c>
      <c r="J18" s="326" t="s">
        <v>228</v>
      </c>
      <c r="K18" s="347" t="s">
        <v>229</v>
      </c>
      <c r="L18" s="330" t="s">
        <v>230</v>
      </c>
      <c r="M18" s="330" t="s">
        <v>213</v>
      </c>
      <c r="N18" s="326" t="s">
        <v>236</v>
      </c>
      <c r="O18" s="333" t="s">
        <v>231</v>
      </c>
      <c r="P18" s="294"/>
      <c r="Q18" s="294"/>
      <c r="R18" s="329" t="s">
        <v>223</v>
      </c>
      <c r="S18" s="341" t="s">
        <v>217</v>
      </c>
      <c r="T18" s="341" t="s">
        <v>236</v>
      </c>
      <c r="U18" s="359" t="s">
        <v>231</v>
      </c>
      <c r="V18" s="198" t="s">
        <v>237</v>
      </c>
    </row>
    <row r="19" spans="1:22" ht="34.5" customHeight="1">
      <c r="A19" s="357" t="s">
        <v>16</v>
      </c>
      <c r="B19" s="339">
        <v>1220</v>
      </c>
      <c r="C19" s="326" t="str">
        <f>'Log frame'!C21</f>
        <v>Facilitate coordination meetings between commune WASH stakeholders.</v>
      </c>
      <c r="D19" s="340" t="s">
        <v>59</v>
      </c>
      <c r="E19" s="326" t="s">
        <v>238</v>
      </c>
      <c r="F19" s="326" t="s">
        <v>61</v>
      </c>
      <c r="G19" s="330" t="s">
        <v>62</v>
      </c>
      <c r="H19" s="348" t="s">
        <v>209</v>
      </c>
      <c r="I19" s="348" t="str">
        <f t="shared" si="0"/>
        <v>Mattson</v>
      </c>
      <c r="J19" s="326" t="s">
        <v>210</v>
      </c>
      <c r="K19" s="333" t="s">
        <v>211</v>
      </c>
      <c r="L19" s="330" t="s">
        <v>239</v>
      </c>
      <c r="M19" s="330" t="s">
        <v>213</v>
      </c>
      <c r="N19" s="330" t="s">
        <v>214</v>
      </c>
      <c r="O19" s="333" t="s">
        <v>215</v>
      </c>
      <c r="P19" s="349"/>
      <c r="Q19" s="349"/>
      <c r="R19" s="329" t="s">
        <v>223</v>
      </c>
      <c r="S19" s="341" t="s">
        <v>217</v>
      </c>
      <c r="T19" s="341" t="s">
        <v>218</v>
      </c>
      <c r="U19" s="359" t="s">
        <v>215</v>
      </c>
      <c r="V19" s="198" t="s">
        <v>240</v>
      </c>
    </row>
    <row r="20" spans="1:22" ht="34.5" hidden="1" customHeight="1">
      <c r="A20" s="399" t="s">
        <v>40</v>
      </c>
      <c r="B20" s="405">
        <v>1300</v>
      </c>
      <c r="C20" s="405" t="str">
        <f>'Log frame'!D17</f>
        <v>Improved accountability of service providers to users of WASH services.​</v>
      </c>
      <c r="D20" s="402" t="s">
        <v>63</v>
      </c>
      <c r="E20" s="405" t="s">
        <v>241</v>
      </c>
      <c r="F20" s="401" t="s">
        <v>65</v>
      </c>
      <c r="G20" s="405" t="s">
        <v>66</v>
      </c>
      <c r="H20" s="330" t="s">
        <v>227</v>
      </c>
      <c r="I20" s="330" t="s">
        <v>222</v>
      </c>
      <c r="J20" s="405" t="s">
        <v>242</v>
      </c>
      <c r="K20" s="406" t="s">
        <v>243</v>
      </c>
      <c r="L20" s="405" t="s">
        <v>244</v>
      </c>
      <c r="M20" s="330" t="s">
        <v>213</v>
      </c>
      <c r="N20" s="407" t="s">
        <v>214</v>
      </c>
      <c r="O20" s="350" t="s">
        <v>215</v>
      </c>
      <c r="P20" s="330"/>
      <c r="Q20" s="330"/>
      <c r="R20" s="350" t="s">
        <v>245</v>
      </c>
      <c r="S20" s="405" t="s">
        <v>246</v>
      </c>
      <c r="T20" s="405" t="s">
        <v>218</v>
      </c>
      <c r="U20" s="361" t="s">
        <v>247</v>
      </c>
      <c r="V20" s="328" t="s">
        <v>248</v>
      </c>
    </row>
    <row r="21" spans="1:22" ht="34.5" hidden="1" customHeight="1">
      <c r="A21" s="399" t="s">
        <v>40</v>
      </c>
      <c r="B21" s="405">
        <v>1300</v>
      </c>
      <c r="C21" s="405" t="str">
        <f>'Log frame'!D17</f>
        <v>Improved accountability of service providers to users of WASH services.​</v>
      </c>
      <c r="D21" s="402" t="s">
        <v>67</v>
      </c>
      <c r="E21" s="405" t="s">
        <v>249</v>
      </c>
      <c r="F21" s="402" t="s">
        <v>68</v>
      </c>
      <c r="G21" s="405" t="s">
        <v>69</v>
      </c>
      <c r="H21" s="330" t="s">
        <v>227</v>
      </c>
      <c r="I21" s="330" t="str">
        <f t="shared" si="0"/>
        <v>Mattson</v>
      </c>
      <c r="J21" s="405" t="s">
        <v>250</v>
      </c>
      <c r="K21" s="406" t="s">
        <v>251</v>
      </c>
      <c r="L21" s="405" t="s">
        <v>252</v>
      </c>
      <c r="M21" s="330" t="s">
        <v>213</v>
      </c>
      <c r="N21" s="405" t="s">
        <v>236</v>
      </c>
      <c r="O21" s="350" t="s">
        <v>215</v>
      </c>
      <c r="P21" s="330" t="s">
        <v>253</v>
      </c>
      <c r="Q21" s="330"/>
      <c r="R21" s="350" t="s">
        <v>245</v>
      </c>
      <c r="S21" s="405" t="s">
        <v>246</v>
      </c>
      <c r="T21" s="405" t="s">
        <v>236</v>
      </c>
      <c r="U21" s="361" t="s">
        <v>247</v>
      </c>
      <c r="V21" s="332" t="s">
        <v>248</v>
      </c>
    </row>
    <row r="22" spans="1:22" ht="34.5" hidden="1" customHeight="1">
      <c r="A22" s="399" t="s">
        <v>40</v>
      </c>
      <c r="B22" s="405">
        <v>1300</v>
      </c>
      <c r="C22" s="405" t="s">
        <v>64</v>
      </c>
      <c r="D22" s="402" t="s">
        <v>70</v>
      </c>
      <c r="E22" s="405" t="s">
        <v>254</v>
      </c>
      <c r="F22" s="405" t="s">
        <v>71</v>
      </c>
      <c r="G22" s="405" t="s">
        <v>72</v>
      </c>
      <c r="H22" s="330" t="s">
        <v>221</v>
      </c>
      <c r="I22" s="330" t="s">
        <v>222</v>
      </c>
      <c r="J22" s="405" t="s">
        <v>255</v>
      </c>
      <c r="K22" s="406" t="s">
        <v>256</v>
      </c>
      <c r="L22" s="405" t="s">
        <v>257</v>
      </c>
      <c r="M22" s="330" t="s">
        <v>258</v>
      </c>
      <c r="N22" s="405" t="s">
        <v>236</v>
      </c>
      <c r="O22" s="350" t="s">
        <v>215</v>
      </c>
      <c r="P22" s="350" t="s">
        <v>245</v>
      </c>
      <c r="Q22" s="330" t="s">
        <v>259</v>
      </c>
      <c r="R22" s="330" t="s">
        <v>260</v>
      </c>
      <c r="S22" s="405" t="s">
        <v>246</v>
      </c>
      <c r="T22" s="405" t="s">
        <v>236</v>
      </c>
      <c r="U22" s="360" t="s">
        <v>215</v>
      </c>
      <c r="V22" s="335"/>
    </row>
    <row r="23" spans="1:22" ht="34.5" hidden="1" customHeight="1">
      <c r="A23" s="357" t="s">
        <v>16</v>
      </c>
      <c r="B23" s="339">
        <v>1310</v>
      </c>
      <c r="C23" s="351" t="str">
        <f>'Log frame'!D19</f>
        <v>Monitor WASH service performance and satisfaction.</v>
      </c>
      <c r="D23" s="340" t="s">
        <v>73</v>
      </c>
      <c r="E23" s="326" t="s">
        <v>261</v>
      </c>
      <c r="F23" s="340" t="s">
        <v>75</v>
      </c>
      <c r="G23" s="352" t="s">
        <v>76</v>
      </c>
      <c r="H23" s="348" t="s">
        <v>221</v>
      </c>
      <c r="I23" s="348" t="str">
        <f t="shared" si="0"/>
        <v>Mattson</v>
      </c>
      <c r="J23" s="326" t="s">
        <v>262</v>
      </c>
      <c r="K23" s="333" t="s">
        <v>263</v>
      </c>
      <c r="L23" s="330" t="s">
        <v>264</v>
      </c>
      <c r="M23" s="330" t="s">
        <v>213</v>
      </c>
      <c r="N23" s="330" t="s">
        <v>214</v>
      </c>
      <c r="O23" s="333" t="s">
        <v>215</v>
      </c>
      <c r="P23" s="294"/>
      <c r="Q23" s="294"/>
      <c r="R23" s="329" t="s">
        <v>223</v>
      </c>
      <c r="S23" s="341" t="s">
        <v>246</v>
      </c>
      <c r="T23" s="341" t="s">
        <v>218</v>
      </c>
      <c r="U23" s="359" t="s">
        <v>215</v>
      </c>
      <c r="V23" s="327" t="s">
        <v>240</v>
      </c>
    </row>
    <row r="24" spans="1:22" ht="34.5" hidden="1" customHeight="1">
      <c r="A24" s="357" t="s">
        <v>16</v>
      </c>
      <c r="B24" s="339">
        <v>1310</v>
      </c>
      <c r="C24" s="351" t="str">
        <f>C23</f>
        <v>Monitor WASH service performance and satisfaction.</v>
      </c>
      <c r="D24" s="340" t="s">
        <v>77</v>
      </c>
      <c r="E24" s="326" t="s">
        <v>265</v>
      </c>
      <c r="F24" s="340" t="s">
        <v>78</v>
      </c>
      <c r="G24" s="352" t="s">
        <v>76</v>
      </c>
      <c r="H24" s="348" t="s">
        <v>221</v>
      </c>
      <c r="I24" s="348" t="str">
        <f t="shared" si="0"/>
        <v>Mattson</v>
      </c>
      <c r="J24" s="326" t="s">
        <v>262</v>
      </c>
      <c r="K24" s="333" t="s">
        <v>263</v>
      </c>
      <c r="L24" s="330" t="s">
        <v>264</v>
      </c>
      <c r="M24" s="330" t="s">
        <v>213</v>
      </c>
      <c r="N24" s="330" t="s">
        <v>214</v>
      </c>
      <c r="O24" s="333" t="s">
        <v>215</v>
      </c>
      <c r="P24" s="294"/>
      <c r="Q24" s="294"/>
      <c r="R24" s="329" t="s">
        <v>223</v>
      </c>
      <c r="S24" s="341" t="s">
        <v>246</v>
      </c>
      <c r="T24" s="341" t="s">
        <v>218</v>
      </c>
      <c r="U24" s="359" t="s">
        <v>215</v>
      </c>
      <c r="V24" s="327" t="s">
        <v>240</v>
      </c>
    </row>
    <row r="25" spans="1:22" ht="46.5" hidden="1">
      <c r="A25" s="357" t="s">
        <v>16</v>
      </c>
      <c r="B25" s="339">
        <v>1310</v>
      </c>
      <c r="C25" s="351" t="str">
        <f>C24</f>
        <v>Monitor WASH service performance and satisfaction.</v>
      </c>
      <c r="D25" s="340" t="s">
        <v>79</v>
      </c>
      <c r="E25" s="326" t="s">
        <v>266</v>
      </c>
      <c r="F25" s="340" t="s">
        <v>80</v>
      </c>
      <c r="G25" s="330" t="s">
        <v>81</v>
      </c>
      <c r="H25" s="348"/>
      <c r="I25" s="348"/>
      <c r="J25" s="326"/>
      <c r="K25" s="333" t="s">
        <v>267</v>
      </c>
      <c r="L25" s="330" t="s">
        <v>244</v>
      </c>
      <c r="M25" s="330"/>
      <c r="N25" s="330" t="s">
        <v>268</v>
      </c>
      <c r="O25" s="333"/>
      <c r="P25" s="294"/>
      <c r="Q25" s="294"/>
      <c r="R25" s="329" t="s">
        <v>269</v>
      </c>
      <c r="S25" s="341" t="s">
        <v>270</v>
      </c>
      <c r="T25" s="341" t="s">
        <v>218</v>
      </c>
      <c r="U25" s="359"/>
      <c r="V25" s="327"/>
    </row>
    <row r="26" spans="1:22" ht="62.1" hidden="1">
      <c r="A26" s="357" t="s">
        <v>16</v>
      </c>
      <c r="B26" s="339">
        <v>1310</v>
      </c>
      <c r="C26" s="351" t="str">
        <f>C25</f>
        <v>Monitor WASH service performance and satisfaction.</v>
      </c>
      <c r="D26" s="340" t="s">
        <v>82</v>
      </c>
      <c r="E26" s="326" t="s">
        <v>271</v>
      </c>
      <c r="F26" s="340" t="s">
        <v>83</v>
      </c>
      <c r="G26" s="330" t="s">
        <v>84</v>
      </c>
      <c r="H26" s="348"/>
      <c r="I26" s="348"/>
      <c r="J26" s="326" t="s">
        <v>272</v>
      </c>
      <c r="K26" s="333" t="s">
        <v>263</v>
      </c>
      <c r="L26" s="330" t="s">
        <v>257</v>
      </c>
      <c r="M26" s="330" t="s">
        <v>213</v>
      </c>
      <c r="N26" s="330" t="s">
        <v>214</v>
      </c>
      <c r="O26" s="333"/>
      <c r="P26" s="294"/>
      <c r="Q26" s="294"/>
      <c r="R26" s="329"/>
      <c r="S26" s="341" t="s">
        <v>246</v>
      </c>
      <c r="T26" s="341" t="s">
        <v>218</v>
      </c>
      <c r="U26" s="359"/>
      <c r="V26" s="327"/>
    </row>
    <row r="27" spans="1:22" ht="99" hidden="1" customHeight="1">
      <c r="A27" s="357" t="s">
        <v>16</v>
      </c>
      <c r="B27" s="339">
        <v>1320</v>
      </c>
      <c r="C27" s="351" t="str">
        <f>'Log frame'!D21</f>
        <v>Review service provider performance with stakeholders.</v>
      </c>
      <c r="D27" s="340" t="s">
        <v>85</v>
      </c>
      <c r="E27" s="326" t="s">
        <v>273</v>
      </c>
      <c r="F27" s="340" t="s">
        <v>87</v>
      </c>
      <c r="G27" s="352" t="s">
        <v>58</v>
      </c>
      <c r="H27" s="326" t="s">
        <v>227</v>
      </c>
      <c r="I27" s="326" t="str">
        <f t="shared" si="0"/>
        <v>Mattson</v>
      </c>
      <c r="J27" s="326" t="s">
        <v>262</v>
      </c>
      <c r="K27" s="349" t="s">
        <v>274</v>
      </c>
      <c r="L27" s="330" t="s">
        <v>275</v>
      </c>
      <c r="M27" s="352" t="s">
        <v>213</v>
      </c>
      <c r="N27" s="330" t="s">
        <v>236</v>
      </c>
      <c r="O27" s="333" t="s">
        <v>215</v>
      </c>
      <c r="P27" s="294"/>
      <c r="Q27" s="294"/>
      <c r="R27" s="294" t="s">
        <v>36</v>
      </c>
      <c r="S27" s="341" t="s">
        <v>246</v>
      </c>
      <c r="T27" s="294" t="s">
        <v>236</v>
      </c>
      <c r="U27" s="359" t="s">
        <v>215</v>
      </c>
      <c r="V27" s="198" t="s">
        <v>240</v>
      </c>
    </row>
    <row r="28" spans="1:22" ht="34.5" hidden="1" customHeight="1">
      <c r="A28" s="393" t="s">
        <v>37</v>
      </c>
      <c r="B28" s="394">
        <v>2000</v>
      </c>
      <c r="C28" s="396" t="str">
        <f>'Log frame'!E15</f>
        <v>Enhanced household access to and use of sustainable, affordable, and safe water, sanitation and hygiene services.​</v>
      </c>
      <c r="D28" s="397" t="s">
        <v>36</v>
      </c>
      <c r="E28" s="395" t="s">
        <v>36</v>
      </c>
      <c r="F28" s="395" t="s">
        <v>36</v>
      </c>
      <c r="G28" s="395" t="s">
        <v>36</v>
      </c>
      <c r="H28" s="326" t="s">
        <v>36</v>
      </c>
      <c r="I28" s="326" t="str">
        <f t="shared" si="0"/>
        <v>Mattson</v>
      </c>
      <c r="J28" s="395" t="s">
        <v>36</v>
      </c>
      <c r="K28" s="395" t="s">
        <v>36</v>
      </c>
      <c r="L28" s="395" t="s">
        <v>36</v>
      </c>
      <c r="M28" s="326"/>
      <c r="N28" s="395" t="s">
        <v>36</v>
      </c>
      <c r="O28" s="326" t="s">
        <v>36</v>
      </c>
      <c r="P28" s="326" t="s">
        <v>36</v>
      </c>
      <c r="Q28" s="326" t="s">
        <v>36</v>
      </c>
      <c r="R28" s="326" t="s">
        <v>36</v>
      </c>
      <c r="S28" s="395" t="s">
        <v>36</v>
      </c>
      <c r="T28" s="395" t="s">
        <v>36</v>
      </c>
      <c r="U28" s="358" t="s">
        <v>36</v>
      </c>
      <c r="V28" s="136" t="s">
        <v>207</v>
      </c>
    </row>
    <row r="29" spans="1:22" ht="34.5" customHeight="1">
      <c r="A29" s="399" t="s">
        <v>40</v>
      </c>
      <c r="B29" s="401">
        <v>2100</v>
      </c>
      <c r="C29" s="408" t="str">
        <f>'Log frame'!E17</f>
        <v>Increased household access to sustainable, affordable, and safe drinking water services.​</v>
      </c>
      <c r="D29" s="402" t="s">
        <v>89</v>
      </c>
      <c r="E29" s="401" t="s">
        <v>276</v>
      </c>
      <c r="F29" s="402" t="s">
        <v>91</v>
      </c>
      <c r="G29" s="409" t="s">
        <v>92</v>
      </c>
      <c r="H29" s="348" t="s">
        <v>209</v>
      </c>
      <c r="I29" s="348" t="str">
        <f t="shared" si="0"/>
        <v>Mattson</v>
      </c>
      <c r="J29" s="401" t="s">
        <v>277</v>
      </c>
      <c r="K29" s="410" t="s">
        <v>278</v>
      </c>
      <c r="L29" s="405" t="s">
        <v>279</v>
      </c>
      <c r="M29" s="330" t="s">
        <v>258</v>
      </c>
      <c r="N29" s="405" t="s">
        <v>236</v>
      </c>
      <c r="O29" s="333" t="s">
        <v>215</v>
      </c>
      <c r="P29" s="294"/>
      <c r="Q29" s="294"/>
      <c r="R29" s="331" t="s">
        <v>280</v>
      </c>
      <c r="S29" s="404" t="s">
        <v>246</v>
      </c>
      <c r="T29" s="404" t="s">
        <v>236</v>
      </c>
      <c r="U29" s="362" t="s">
        <v>247</v>
      </c>
      <c r="V29" s="198" t="s">
        <v>281</v>
      </c>
    </row>
    <row r="30" spans="1:22" ht="34.5" customHeight="1">
      <c r="A30" s="399" t="s">
        <v>40</v>
      </c>
      <c r="B30" s="401">
        <v>2100</v>
      </c>
      <c r="C30" s="408" t="str">
        <f>'Log frame'!E17</f>
        <v>Increased household access to sustainable, affordable, and safe drinking water services.​</v>
      </c>
      <c r="D30" s="402" t="s">
        <v>93</v>
      </c>
      <c r="E30" s="401" t="s">
        <v>282</v>
      </c>
      <c r="F30" s="402" t="s">
        <v>94</v>
      </c>
      <c r="G30" s="409" t="s">
        <v>92</v>
      </c>
      <c r="H30" s="348" t="s">
        <v>209</v>
      </c>
      <c r="I30" s="348" t="str">
        <f t="shared" si="0"/>
        <v>Mattson</v>
      </c>
      <c r="J30" s="401" t="s">
        <v>283</v>
      </c>
      <c r="K30" s="410" t="s">
        <v>278</v>
      </c>
      <c r="L30" s="405" t="s">
        <v>279</v>
      </c>
      <c r="M30" s="330" t="s">
        <v>258</v>
      </c>
      <c r="N30" s="405" t="s">
        <v>236</v>
      </c>
      <c r="O30" s="333" t="s">
        <v>215</v>
      </c>
      <c r="P30" s="294"/>
      <c r="Q30" s="294"/>
      <c r="R30" s="331" t="s">
        <v>280</v>
      </c>
      <c r="S30" s="404" t="s">
        <v>246</v>
      </c>
      <c r="T30" s="404" t="s">
        <v>236</v>
      </c>
      <c r="U30" s="362" t="s">
        <v>247</v>
      </c>
      <c r="V30" s="198" t="s">
        <v>281</v>
      </c>
    </row>
    <row r="31" spans="1:22" ht="34.5" customHeight="1">
      <c r="A31" s="399" t="s">
        <v>40</v>
      </c>
      <c r="B31" s="401">
        <v>2100</v>
      </c>
      <c r="C31" s="408" t="str">
        <f>'Log frame'!E17</f>
        <v>Increased household access to sustainable, affordable, and safe drinking water services.​</v>
      </c>
      <c r="D31" s="402" t="s">
        <v>95</v>
      </c>
      <c r="E31" s="402" t="s">
        <v>284</v>
      </c>
      <c r="F31" s="402" t="s">
        <v>96</v>
      </c>
      <c r="G31" s="401" t="s">
        <v>69</v>
      </c>
      <c r="H31" s="348" t="s">
        <v>227</v>
      </c>
      <c r="I31" s="348" t="str">
        <f t="shared" si="0"/>
        <v>Mattson</v>
      </c>
      <c r="J31" s="407" t="s">
        <v>228</v>
      </c>
      <c r="K31" s="403" t="s">
        <v>253</v>
      </c>
      <c r="L31" s="407" t="s">
        <v>279</v>
      </c>
      <c r="M31" s="348" t="s">
        <v>258</v>
      </c>
      <c r="N31" s="405" t="s">
        <v>218</v>
      </c>
      <c r="O31" s="333" t="s">
        <v>215</v>
      </c>
      <c r="P31" s="348"/>
      <c r="Q31" s="348"/>
      <c r="R31" s="350" t="s">
        <v>245</v>
      </c>
      <c r="S31" s="404" t="s">
        <v>246</v>
      </c>
      <c r="T31" s="404" t="s">
        <v>236</v>
      </c>
      <c r="U31" s="362" t="s">
        <v>247</v>
      </c>
      <c r="V31" s="328" t="s">
        <v>248</v>
      </c>
    </row>
    <row r="32" spans="1:22" ht="34.5" customHeight="1">
      <c r="A32" s="357" t="s">
        <v>16</v>
      </c>
      <c r="B32" s="326">
        <v>2110</v>
      </c>
      <c r="C32" s="345" t="str">
        <f>'Log frame'!E19</f>
        <v xml:space="preserve">Develop community managed water points. </v>
      </c>
      <c r="D32" s="340" t="s">
        <v>97</v>
      </c>
      <c r="E32" s="326" t="s">
        <v>285</v>
      </c>
      <c r="F32" s="340" t="s">
        <v>99</v>
      </c>
      <c r="G32" s="352" t="s">
        <v>100</v>
      </c>
      <c r="H32" s="348" t="s">
        <v>209</v>
      </c>
      <c r="I32" s="348" t="str">
        <f t="shared" si="0"/>
        <v>Mattson</v>
      </c>
      <c r="J32" s="353" t="s">
        <v>286</v>
      </c>
      <c r="K32" s="333" t="s">
        <v>253</v>
      </c>
      <c r="L32" s="330" t="s">
        <v>279</v>
      </c>
      <c r="M32" s="330" t="s">
        <v>258</v>
      </c>
      <c r="N32" s="330" t="s">
        <v>218</v>
      </c>
      <c r="O32" s="333" t="s">
        <v>215</v>
      </c>
      <c r="P32" s="294"/>
      <c r="Q32" s="294"/>
      <c r="R32" s="331" t="s">
        <v>280</v>
      </c>
      <c r="S32" s="341" t="s">
        <v>217</v>
      </c>
      <c r="T32" s="341" t="s">
        <v>218</v>
      </c>
      <c r="U32" s="362" t="s">
        <v>247</v>
      </c>
      <c r="V32" s="198" t="s">
        <v>281</v>
      </c>
    </row>
    <row r="33" spans="1:22" ht="34.5" customHeight="1">
      <c r="A33" s="357" t="s">
        <v>16</v>
      </c>
      <c r="B33" s="326">
        <v>2120</v>
      </c>
      <c r="C33" s="345" t="str">
        <f>'Log frame'!E21</f>
        <v>Rehabilitate and expand professionally operated piped water systems.</v>
      </c>
      <c r="D33" s="340" t="s">
        <v>101</v>
      </c>
      <c r="E33" s="326" t="s">
        <v>287</v>
      </c>
      <c r="F33" s="340" t="s">
        <v>103</v>
      </c>
      <c r="G33" s="352" t="s">
        <v>100</v>
      </c>
      <c r="H33" s="348" t="s">
        <v>209</v>
      </c>
      <c r="I33" s="348" t="str">
        <f t="shared" si="0"/>
        <v>Mattson</v>
      </c>
      <c r="J33" s="353" t="s">
        <v>288</v>
      </c>
      <c r="K33" s="333" t="s">
        <v>274</v>
      </c>
      <c r="L33" s="330" t="s">
        <v>279</v>
      </c>
      <c r="M33" s="330" t="s">
        <v>213</v>
      </c>
      <c r="N33" s="330" t="s">
        <v>218</v>
      </c>
      <c r="O33" s="333" t="s">
        <v>215</v>
      </c>
      <c r="P33" s="294"/>
      <c r="Q33" s="294"/>
      <c r="R33" s="331" t="s">
        <v>280</v>
      </c>
      <c r="S33" s="341" t="s">
        <v>217</v>
      </c>
      <c r="T33" s="341" t="s">
        <v>218</v>
      </c>
      <c r="U33" s="362" t="s">
        <v>247</v>
      </c>
      <c r="V33" s="198" t="s">
        <v>281</v>
      </c>
    </row>
    <row r="34" spans="1:22" ht="34.5" hidden="1" customHeight="1">
      <c r="A34" s="399" t="s">
        <v>40</v>
      </c>
      <c r="B34" s="401">
        <v>2200</v>
      </c>
      <c r="C34" s="408" t="str">
        <f>'Log frame'!F17</f>
        <v>Increased household access to sustainable, affordable, and safe sanitation services.​</v>
      </c>
      <c r="D34" s="402" t="s">
        <v>104</v>
      </c>
      <c r="E34" s="401" t="s">
        <v>289</v>
      </c>
      <c r="F34" s="411" t="s">
        <v>106</v>
      </c>
      <c r="G34" s="401" t="s">
        <v>107</v>
      </c>
      <c r="H34" s="348" t="s">
        <v>209</v>
      </c>
      <c r="I34" s="348" t="str">
        <f t="shared" si="0"/>
        <v>Mattson</v>
      </c>
      <c r="J34" s="401" t="s">
        <v>228</v>
      </c>
      <c r="K34" s="403" t="s">
        <v>290</v>
      </c>
      <c r="L34" s="405" t="s">
        <v>233</v>
      </c>
      <c r="M34" s="330" t="s">
        <v>258</v>
      </c>
      <c r="N34" s="405" t="s">
        <v>218</v>
      </c>
      <c r="O34" s="333" t="s">
        <v>215</v>
      </c>
      <c r="P34" s="294"/>
      <c r="Q34" s="294"/>
      <c r="R34" s="331" t="s">
        <v>280</v>
      </c>
      <c r="S34" s="404" t="s">
        <v>291</v>
      </c>
      <c r="T34" s="404" t="s">
        <v>218</v>
      </c>
      <c r="U34" s="362" t="s">
        <v>247</v>
      </c>
      <c r="V34" s="198" t="s">
        <v>281</v>
      </c>
    </row>
    <row r="35" spans="1:22" ht="34.5" hidden="1" customHeight="1">
      <c r="A35" s="399" t="s">
        <v>40</v>
      </c>
      <c r="B35" s="401">
        <v>2200</v>
      </c>
      <c r="C35" s="408" t="str">
        <f>C34</f>
        <v>Increased household access to sustainable, affordable, and safe sanitation services.​</v>
      </c>
      <c r="D35" s="402" t="s">
        <v>108</v>
      </c>
      <c r="E35" s="401" t="s">
        <v>292</v>
      </c>
      <c r="F35" s="402" t="s">
        <v>109</v>
      </c>
      <c r="G35" s="405" t="s">
        <v>107</v>
      </c>
      <c r="H35" s="348" t="s">
        <v>209</v>
      </c>
      <c r="I35" s="348" t="str">
        <f t="shared" si="0"/>
        <v>Mattson</v>
      </c>
      <c r="J35" s="402" t="s">
        <v>293</v>
      </c>
      <c r="K35" s="403" t="s">
        <v>290</v>
      </c>
      <c r="L35" s="405" t="s">
        <v>294</v>
      </c>
      <c r="M35" s="330" t="s">
        <v>258</v>
      </c>
      <c r="N35" s="405" t="s">
        <v>236</v>
      </c>
      <c r="O35" s="333" t="s">
        <v>215</v>
      </c>
      <c r="P35" s="294"/>
      <c r="Q35" s="294"/>
      <c r="R35" s="331" t="s">
        <v>280</v>
      </c>
      <c r="S35" s="404" t="s">
        <v>246</v>
      </c>
      <c r="T35" s="404" t="s">
        <v>236</v>
      </c>
      <c r="U35" s="362" t="s">
        <v>247</v>
      </c>
      <c r="V35" s="198" t="s">
        <v>281</v>
      </c>
    </row>
    <row r="36" spans="1:22" ht="34.5" customHeight="1">
      <c r="A36" s="399" t="s">
        <v>40</v>
      </c>
      <c r="B36" s="401">
        <v>2200</v>
      </c>
      <c r="C36" s="408" t="str">
        <f>'Log frame'!F17</f>
        <v>Increased household access to sustainable, affordable, and safe sanitation services.​</v>
      </c>
      <c r="D36" s="402" t="s">
        <v>110</v>
      </c>
      <c r="E36" s="401" t="s">
        <v>295</v>
      </c>
      <c r="F36" s="402" t="s">
        <v>111</v>
      </c>
      <c r="G36" s="405" t="s">
        <v>112</v>
      </c>
      <c r="H36" s="326" t="s">
        <v>296</v>
      </c>
      <c r="I36" s="326" t="str">
        <f t="shared" si="0"/>
        <v>Mattson</v>
      </c>
      <c r="J36" s="401" t="s">
        <v>297</v>
      </c>
      <c r="K36" s="410" t="s">
        <v>278</v>
      </c>
      <c r="L36" s="405" t="s">
        <v>279</v>
      </c>
      <c r="M36" s="330" t="s">
        <v>258</v>
      </c>
      <c r="N36" s="405" t="s">
        <v>298</v>
      </c>
      <c r="O36" s="333" t="s">
        <v>215</v>
      </c>
      <c r="P36" s="294"/>
      <c r="Q36" s="294"/>
      <c r="R36" s="331" t="s">
        <v>280</v>
      </c>
      <c r="S36" s="412" t="s">
        <v>299</v>
      </c>
      <c r="T36" s="404" t="s">
        <v>236</v>
      </c>
      <c r="U36" s="362" t="s">
        <v>247</v>
      </c>
      <c r="V36" s="198" t="s">
        <v>281</v>
      </c>
    </row>
    <row r="37" spans="1:22" ht="34.5" customHeight="1">
      <c r="A37" s="357" t="s">
        <v>16</v>
      </c>
      <c r="B37" s="339">
        <v>2210</v>
      </c>
      <c r="C37" s="345" t="str">
        <f>'Log frame'!F19</f>
        <v>Mobilize communities to achieve Open Defecation Free status</v>
      </c>
      <c r="D37" s="340" t="s">
        <v>113</v>
      </c>
      <c r="E37" s="342" t="s">
        <v>300</v>
      </c>
      <c r="F37" s="340" t="s">
        <v>115</v>
      </c>
      <c r="G37" s="352" t="s">
        <v>100</v>
      </c>
      <c r="H37" s="326" t="s">
        <v>296</v>
      </c>
      <c r="I37" s="326" t="str">
        <f t="shared" si="0"/>
        <v>Mattson</v>
      </c>
      <c r="J37" s="326" t="s">
        <v>297</v>
      </c>
      <c r="K37" s="331" t="s">
        <v>278</v>
      </c>
      <c r="L37" s="326" t="s">
        <v>279</v>
      </c>
      <c r="M37" s="326" t="s">
        <v>258</v>
      </c>
      <c r="N37" s="330" t="s">
        <v>214</v>
      </c>
      <c r="O37" s="333" t="s">
        <v>215</v>
      </c>
      <c r="P37" s="294"/>
      <c r="Q37" s="294"/>
      <c r="R37" s="331" t="s">
        <v>280</v>
      </c>
      <c r="S37" s="341" t="s">
        <v>217</v>
      </c>
      <c r="T37" s="341" t="s">
        <v>218</v>
      </c>
      <c r="U37" s="362" t="s">
        <v>247</v>
      </c>
      <c r="V37" s="198" t="s">
        <v>281</v>
      </c>
    </row>
    <row r="38" spans="1:22" ht="34.5" customHeight="1">
      <c r="A38" s="357" t="s">
        <v>16</v>
      </c>
      <c r="B38" s="339">
        <v>2230</v>
      </c>
      <c r="C38" s="345" t="str">
        <f>'Log frame'!F23</f>
        <v>Construct public latrines.</v>
      </c>
      <c r="D38" s="340" t="s">
        <v>116</v>
      </c>
      <c r="E38" s="326" t="s">
        <v>301</v>
      </c>
      <c r="F38" s="326" t="s">
        <v>118</v>
      </c>
      <c r="G38" s="352" t="s">
        <v>119</v>
      </c>
      <c r="H38" s="348" t="s">
        <v>209</v>
      </c>
      <c r="I38" s="348" t="s">
        <v>302</v>
      </c>
      <c r="J38" s="340" t="s">
        <v>293</v>
      </c>
      <c r="K38" s="331" t="s">
        <v>303</v>
      </c>
      <c r="L38" s="330" t="s">
        <v>279</v>
      </c>
      <c r="M38" s="330" t="s">
        <v>213</v>
      </c>
      <c r="N38" s="330" t="s">
        <v>218</v>
      </c>
      <c r="O38" s="333" t="s">
        <v>215</v>
      </c>
      <c r="P38" s="294"/>
      <c r="Q38" s="294"/>
      <c r="R38" s="331" t="s">
        <v>280</v>
      </c>
      <c r="S38" s="341" t="s">
        <v>246</v>
      </c>
      <c r="T38" s="341" t="s">
        <v>218</v>
      </c>
      <c r="U38" s="362" t="s">
        <v>247</v>
      </c>
      <c r="V38" s="198" t="s">
        <v>304</v>
      </c>
    </row>
    <row r="39" spans="1:22" ht="34.5" customHeight="1">
      <c r="A39" s="399" t="s">
        <v>40</v>
      </c>
      <c r="B39" s="401">
        <v>2300</v>
      </c>
      <c r="C39" s="402" t="str">
        <f>'Log frame'!G17</f>
        <v>Increased household access to hygiene services.</v>
      </c>
      <c r="D39" s="402" t="s">
        <v>120</v>
      </c>
      <c r="E39" s="401" t="s">
        <v>305</v>
      </c>
      <c r="F39" s="402" t="s">
        <v>122</v>
      </c>
      <c r="G39" s="409" t="s">
        <v>123</v>
      </c>
      <c r="H39" s="326" t="s">
        <v>227</v>
      </c>
      <c r="I39" s="326" t="str">
        <f t="shared" si="0"/>
        <v>Mattson</v>
      </c>
      <c r="J39" s="413" t="s">
        <v>306</v>
      </c>
      <c r="K39" s="410" t="s">
        <v>278</v>
      </c>
      <c r="L39" s="405" t="s">
        <v>279</v>
      </c>
      <c r="M39" s="330" t="s">
        <v>258</v>
      </c>
      <c r="N39" s="405" t="s">
        <v>298</v>
      </c>
      <c r="O39" s="333" t="s">
        <v>215</v>
      </c>
      <c r="P39" s="294"/>
      <c r="Q39" s="294"/>
      <c r="R39" s="331" t="s">
        <v>280</v>
      </c>
      <c r="S39" s="412" t="s">
        <v>299</v>
      </c>
      <c r="T39" s="404" t="s">
        <v>218</v>
      </c>
      <c r="U39" s="362" t="s">
        <v>247</v>
      </c>
      <c r="V39" s="198" t="s">
        <v>307</v>
      </c>
    </row>
    <row r="40" spans="1:22" ht="34.5" customHeight="1">
      <c r="A40" s="357" t="s">
        <v>16</v>
      </c>
      <c r="B40" s="339">
        <v>2310</v>
      </c>
      <c r="C40" s="326" t="str">
        <f>'Log frame'!G19</f>
        <v>Train skilled community animators to deliver hygiene trainings and community mobilization.​</v>
      </c>
      <c r="D40" s="340" t="s">
        <v>124</v>
      </c>
      <c r="E40" s="326" t="s">
        <v>308</v>
      </c>
      <c r="F40" s="326" t="s">
        <v>126</v>
      </c>
      <c r="G40" s="352" t="s">
        <v>127</v>
      </c>
      <c r="H40" s="326" t="s">
        <v>227</v>
      </c>
      <c r="I40" s="326" t="str">
        <f t="shared" si="0"/>
        <v>Mattson</v>
      </c>
      <c r="J40" s="326" t="s">
        <v>228</v>
      </c>
      <c r="K40" s="333" t="s">
        <v>309</v>
      </c>
      <c r="L40" s="330" t="s">
        <v>279</v>
      </c>
      <c r="M40" s="330" t="s">
        <v>258</v>
      </c>
      <c r="N40" s="330" t="s">
        <v>268</v>
      </c>
      <c r="O40" s="333" t="s">
        <v>215</v>
      </c>
      <c r="P40" s="294"/>
      <c r="Q40" s="294"/>
      <c r="R40" s="330" t="s">
        <v>223</v>
      </c>
      <c r="S40" s="341" t="s">
        <v>291</v>
      </c>
      <c r="T40" s="341" t="s">
        <v>218</v>
      </c>
      <c r="U40" s="359" t="s">
        <v>215</v>
      </c>
      <c r="V40" s="198" t="s">
        <v>240</v>
      </c>
    </row>
    <row r="41" spans="1:22" ht="34.5" customHeight="1">
      <c r="A41" s="357" t="s">
        <v>16</v>
      </c>
      <c r="B41" s="339">
        <v>2310</v>
      </c>
      <c r="C41" s="326" t="s">
        <v>125</v>
      </c>
      <c r="D41" s="326" t="s">
        <v>128</v>
      </c>
      <c r="E41" s="326" t="s">
        <v>310</v>
      </c>
      <c r="F41" s="326" t="s">
        <v>129</v>
      </c>
      <c r="G41" s="352" t="s">
        <v>130</v>
      </c>
      <c r="H41" s="326" t="s">
        <v>221</v>
      </c>
      <c r="I41" s="326" t="s">
        <v>222</v>
      </c>
      <c r="J41" s="326" t="s">
        <v>311</v>
      </c>
      <c r="K41" s="333" t="s">
        <v>312</v>
      </c>
      <c r="L41" s="330" t="s">
        <v>279</v>
      </c>
      <c r="M41" s="330" t="s">
        <v>213</v>
      </c>
      <c r="N41" s="330" t="s">
        <v>214</v>
      </c>
      <c r="O41" s="333" t="s">
        <v>215</v>
      </c>
      <c r="P41" s="330" t="s">
        <v>223</v>
      </c>
      <c r="Q41" s="341" t="s">
        <v>259</v>
      </c>
      <c r="R41" s="330" t="s">
        <v>223</v>
      </c>
      <c r="S41" s="341" t="s">
        <v>217</v>
      </c>
      <c r="T41" s="341" t="s">
        <v>218</v>
      </c>
      <c r="U41" s="359" t="s">
        <v>215</v>
      </c>
      <c r="V41"/>
    </row>
    <row r="42" spans="1:22" ht="34.5" customHeight="1">
      <c r="A42" s="357" t="s">
        <v>16</v>
      </c>
      <c r="B42" s="339">
        <v>2320</v>
      </c>
      <c r="C42" s="345" t="str">
        <f>'Log frame'!G21</f>
        <v>Certify the sustained usage of hygiene services.</v>
      </c>
      <c r="D42" s="326" t="s">
        <v>131</v>
      </c>
      <c r="E42" s="326" t="s">
        <v>313</v>
      </c>
      <c r="F42" s="340" t="s">
        <v>132</v>
      </c>
      <c r="G42" s="352" t="s">
        <v>100</v>
      </c>
      <c r="H42" s="326" t="s">
        <v>227</v>
      </c>
      <c r="I42" s="326" t="str">
        <f t="shared" si="0"/>
        <v>Mattson</v>
      </c>
      <c r="J42" s="326" t="s">
        <v>228</v>
      </c>
      <c r="K42" s="333" t="s">
        <v>290</v>
      </c>
      <c r="L42" s="330" t="s">
        <v>279</v>
      </c>
      <c r="M42" s="330" t="s">
        <v>258</v>
      </c>
      <c r="N42" s="330" t="s">
        <v>214</v>
      </c>
      <c r="O42" s="333" t="s">
        <v>215</v>
      </c>
      <c r="P42" s="294"/>
      <c r="Q42" s="294"/>
      <c r="R42" s="330" t="s">
        <v>223</v>
      </c>
      <c r="S42" s="341" t="s">
        <v>246</v>
      </c>
      <c r="T42" s="341" t="s">
        <v>218</v>
      </c>
      <c r="U42" s="359" t="s">
        <v>215</v>
      </c>
      <c r="V42" s="198" t="s">
        <v>240</v>
      </c>
    </row>
    <row r="43" spans="1:22" ht="47.1" customHeight="1">
      <c r="A43" s="399" t="s">
        <v>40</v>
      </c>
      <c r="B43" s="401">
        <v>2400</v>
      </c>
      <c r="C43" s="402" t="str">
        <f>'Log frame'!H17</f>
        <v>Increased access to sustainable, safe drinking water, sanitation, and hygiene materials in healthcare facilities, schools, and public places.</v>
      </c>
      <c r="D43" s="402" t="s">
        <v>133</v>
      </c>
      <c r="E43" s="414" t="s">
        <v>314</v>
      </c>
      <c r="F43" s="414" t="s">
        <v>135</v>
      </c>
      <c r="G43" s="405" t="s">
        <v>136</v>
      </c>
      <c r="H43" s="348" t="s">
        <v>209</v>
      </c>
      <c r="I43" s="348" t="s">
        <v>302</v>
      </c>
      <c r="J43" s="401" t="s">
        <v>315</v>
      </c>
      <c r="K43" s="403" t="s">
        <v>316</v>
      </c>
      <c r="L43" s="405" t="s">
        <v>279</v>
      </c>
      <c r="M43" s="330" t="s">
        <v>258</v>
      </c>
      <c r="N43" s="405" t="s">
        <v>236</v>
      </c>
      <c r="O43" s="333" t="s">
        <v>215</v>
      </c>
      <c r="P43" s="294"/>
      <c r="Q43" s="294"/>
      <c r="R43" s="331" t="s">
        <v>317</v>
      </c>
      <c r="S43" s="412" t="s">
        <v>246</v>
      </c>
      <c r="T43" s="404" t="s">
        <v>236</v>
      </c>
      <c r="U43" s="362" t="s">
        <v>247</v>
      </c>
      <c r="V43" s="198" t="s">
        <v>248</v>
      </c>
    </row>
    <row r="44" spans="1:22" ht="56.1" customHeight="1">
      <c r="A44" s="399" t="s">
        <v>40</v>
      </c>
      <c r="B44" s="401">
        <v>2400</v>
      </c>
      <c r="C44" s="402" t="str">
        <f>'Log frame'!H17</f>
        <v>Increased access to sustainable, safe drinking water, sanitation, and hygiene materials in healthcare facilities, schools, and public places.</v>
      </c>
      <c r="D44" s="402" t="s">
        <v>137</v>
      </c>
      <c r="E44" s="415" t="s">
        <v>318</v>
      </c>
      <c r="F44" s="414" t="s">
        <v>138</v>
      </c>
      <c r="G44" s="405" t="s">
        <v>139</v>
      </c>
      <c r="H44" s="348" t="s">
        <v>209</v>
      </c>
      <c r="I44" s="348" t="s">
        <v>302</v>
      </c>
      <c r="J44" s="401" t="s">
        <v>315</v>
      </c>
      <c r="K44" s="403" t="s">
        <v>319</v>
      </c>
      <c r="L44" s="405" t="s">
        <v>279</v>
      </c>
      <c r="M44" s="330" t="s">
        <v>258</v>
      </c>
      <c r="N44" s="405" t="s">
        <v>236</v>
      </c>
      <c r="O44" s="333" t="s">
        <v>215</v>
      </c>
      <c r="P44" s="294"/>
      <c r="Q44" s="294"/>
      <c r="R44" s="331" t="s">
        <v>320</v>
      </c>
      <c r="S44" s="412" t="s">
        <v>246</v>
      </c>
      <c r="T44" s="404" t="s">
        <v>236</v>
      </c>
      <c r="U44" s="362" t="s">
        <v>247</v>
      </c>
      <c r="V44" s="198" t="s">
        <v>248</v>
      </c>
    </row>
    <row r="45" spans="1:22" ht="34.5" customHeight="1">
      <c r="A45" s="357" t="s">
        <v>16</v>
      </c>
      <c r="B45" s="339">
        <v>2410</v>
      </c>
      <c r="C45" s="326" t="str">
        <f>'Log frame'!H19</f>
        <v>Construct or rehabilitate water supply for healthcare facilities and schools.</v>
      </c>
      <c r="D45" s="339" t="s">
        <v>140</v>
      </c>
      <c r="E45" s="354" t="s">
        <v>321</v>
      </c>
      <c r="F45" s="354" t="s">
        <v>142</v>
      </c>
      <c r="G45" s="330" t="s">
        <v>143</v>
      </c>
      <c r="H45" s="348" t="s">
        <v>209</v>
      </c>
      <c r="I45" s="348" t="s">
        <v>302</v>
      </c>
      <c r="J45" s="326" t="s">
        <v>322</v>
      </c>
      <c r="K45" s="333" t="s">
        <v>316</v>
      </c>
      <c r="L45" s="330" t="s">
        <v>279</v>
      </c>
      <c r="M45" s="330" t="s">
        <v>258</v>
      </c>
      <c r="N45" s="330" t="s">
        <v>218</v>
      </c>
      <c r="O45" s="333" t="s">
        <v>215</v>
      </c>
      <c r="P45" s="294"/>
      <c r="Q45" s="294"/>
      <c r="R45" s="331" t="s">
        <v>317</v>
      </c>
      <c r="S45" s="341" t="s">
        <v>246</v>
      </c>
      <c r="T45" s="341" t="s">
        <v>236</v>
      </c>
      <c r="U45" s="362" t="s">
        <v>247</v>
      </c>
      <c r="V45" s="198" t="s">
        <v>248</v>
      </c>
    </row>
    <row r="46" spans="1:22" ht="34.5" customHeight="1">
      <c r="A46" s="357" t="s">
        <v>16</v>
      </c>
      <c r="B46" s="339">
        <v>2410</v>
      </c>
      <c r="C46" s="326" t="str">
        <f>'Log frame'!H19</f>
        <v>Construct or rehabilitate water supply for healthcare facilities and schools.</v>
      </c>
      <c r="D46" s="339" t="s">
        <v>144</v>
      </c>
      <c r="E46" s="346" t="s">
        <v>323</v>
      </c>
      <c r="F46" s="354" t="s">
        <v>145</v>
      </c>
      <c r="G46" s="330" t="s">
        <v>146</v>
      </c>
      <c r="H46" s="348" t="s">
        <v>209</v>
      </c>
      <c r="I46" s="348" t="s">
        <v>302</v>
      </c>
      <c r="J46" s="326" t="s">
        <v>322</v>
      </c>
      <c r="K46" s="333" t="s">
        <v>319</v>
      </c>
      <c r="L46" s="330" t="s">
        <v>279</v>
      </c>
      <c r="M46" s="330" t="s">
        <v>258</v>
      </c>
      <c r="N46" s="330" t="s">
        <v>218</v>
      </c>
      <c r="O46" s="333" t="s">
        <v>215</v>
      </c>
      <c r="P46" s="294"/>
      <c r="Q46" s="294"/>
      <c r="R46" s="331" t="s">
        <v>320</v>
      </c>
      <c r="S46" s="341" t="s">
        <v>246</v>
      </c>
      <c r="T46" s="341" t="s">
        <v>236</v>
      </c>
      <c r="U46" s="362" t="s">
        <v>247</v>
      </c>
      <c r="V46" s="198" t="s">
        <v>248</v>
      </c>
    </row>
    <row r="47" spans="1:22" ht="34.5" customHeight="1">
      <c r="A47" s="357" t="s">
        <v>16</v>
      </c>
      <c r="B47" s="339">
        <v>2420</v>
      </c>
      <c r="C47" s="345" t="str">
        <f>'Log frame'!H21</f>
        <v>Construct communal, healthcare facility, and school latrines.</v>
      </c>
      <c r="D47" s="326" t="s">
        <v>147</v>
      </c>
      <c r="E47" s="346" t="s">
        <v>324</v>
      </c>
      <c r="F47" s="354" t="s">
        <v>149</v>
      </c>
      <c r="G47" s="330" t="s">
        <v>143</v>
      </c>
      <c r="H47" s="348" t="s">
        <v>209</v>
      </c>
      <c r="I47" s="348" t="s">
        <v>302</v>
      </c>
      <c r="J47" s="326" t="s">
        <v>325</v>
      </c>
      <c r="K47" s="333" t="s">
        <v>316</v>
      </c>
      <c r="L47" s="330" t="s">
        <v>279</v>
      </c>
      <c r="M47" s="330" t="s">
        <v>258</v>
      </c>
      <c r="N47" s="330" t="s">
        <v>218</v>
      </c>
      <c r="O47" s="333" t="s">
        <v>215</v>
      </c>
      <c r="P47" s="294"/>
      <c r="Q47" s="294"/>
      <c r="R47" s="331" t="s">
        <v>317</v>
      </c>
      <c r="S47" s="341" t="s">
        <v>246</v>
      </c>
      <c r="T47" s="341" t="s">
        <v>236</v>
      </c>
      <c r="U47" s="362" t="s">
        <v>247</v>
      </c>
      <c r="V47" s="198" t="s">
        <v>248</v>
      </c>
    </row>
    <row r="48" spans="1:22" ht="34.5" customHeight="1">
      <c r="A48" s="357" t="s">
        <v>16</v>
      </c>
      <c r="B48" s="339">
        <v>2420</v>
      </c>
      <c r="C48" s="345" t="str">
        <f>'Log frame'!H21</f>
        <v>Construct communal, healthcare facility, and school latrines.</v>
      </c>
      <c r="D48" s="326" t="s">
        <v>150</v>
      </c>
      <c r="E48" s="346" t="s">
        <v>326</v>
      </c>
      <c r="F48" s="354" t="s">
        <v>151</v>
      </c>
      <c r="G48" s="330" t="s">
        <v>146</v>
      </c>
      <c r="H48" s="348" t="s">
        <v>209</v>
      </c>
      <c r="I48" s="348" t="s">
        <v>302</v>
      </c>
      <c r="J48" s="326" t="s">
        <v>325</v>
      </c>
      <c r="K48" s="333" t="s">
        <v>319</v>
      </c>
      <c r="L48" s="330" t="s">
        <v>279</v>
      </c>
      <c r="M48" s="330" t="s">
        <v>258</v>
      </c>
      <c r="N48" s="330" t="s">
        <v>218</v>
      </c>
      <c r="O48" s="333" t="s">
        <v>215</v>
      </c>
      <c r="P48" s="294"/>
      <c r="Q48" s="294"/>
      <c r="R48" s="331" t="s">
        <v>320</v>
      </c>
      <c r="S48" s="341" t="s">
        <v>246</v>
      </c>
      <c r="T48" s="341" t="s">
        <v>236</v>
      </c>
      <c r="U48" s="362" t="s">
        <v>247</v>
      </c>
      <c r="V48" s="198" t="s">
        <v>248</v>
      </c>
    </row>
    <row r="49" spans="1:32" ht="34.5" customHeight="1">
      <c r="A49" s="357" t="s">
        <v>16</v>
      </c>
      <c r="B49" s="339">
        <v>2430</v>
      </c>
      <c r="C49" s="326" t="str">
        <f>'Log frame'!H23</f>
        <v>Work with (local authorities, civil society) to ensure access to soap or alcohol-based handrub at schools and healthcare facilities.</v>
      </c>
      <c r="D49" s="326" t="s">
        <v>152</v>
      </c>
      <c r="E49" s="326" t="s">
        <v>327</v>
      </c>
      <c r="F49" s="354" t="s">
        <v>154</v>
      </c>
      <c r="G49" s="330" t="s">
        <v>143</v>
      </c>
      <c r="H49" s="348" t="s">
        <v>209</v>
      </c>
      <c r="I49" s="348" t="s">
        <v>302</v>
      </c>
      <c r="J49" s="326" t="s">
        <v>328</v>
      </c>
      <c r="K49" s="333" t="s">
        <v>316</v>
      </c>
      <c r="L49" s="330" t="s">
        <v>279</v>
      </c>
      <c r="M49" s="330" t="s">
        <v>258</v>
      </c>
      <c r="N49" s="330" t="s">
        <v>218</v>
      </c>
      <c r="O49" s="333" t="s">
        <v>215</v>
      </c>
      <c r="P49" s="294"/>
      <c r="Q49" s="294"/>
      <c r="R49" s="331" t="s">
        <v>317</v>
      </c>
      <c r="S49" s="341" t="s">
        <v>246</v>
      </c>
      <c r="T49" s="341" t="s">
        <v>236</v>
      </c>
      <c r="U49" s="362" t="s">
        <v>247</v>
      </c>
      <c r="V49" s="336" t="s">
        <v>248</v>
      </c>
    </row>
    <row r="50" spans="1:32" ht="34.5" customHeight="1">
      <c r="A50" s="357" t="s">
        <v>16</v>
      </c>
      <c r="B50" s="339">
        <v>2430</v>
      </c>
      <c r="C50" s="326" t="str">
        <f>'Log frame'!H23</f>
        <v>Work with (local authorities, civil society) to ensure access to soap or alcohol-based handrub at schools and healthcare facilities.</v>
      </c>
      <c r="D50" s="326" t="s">
        <v>155</v>
      </c>
      <c r="E50" s="326" t="s">
        <v>329</v>
      </c>
      <c r="F50" s="354" t="s">
        <v>156</v>
      </c>
      <c r="G50" s="330" t="s">
        <v>146</v>
      </c>
      <c r="H50" s="348" t="s">
        <v>209</v>
      </c>
      <c r="I50" s="348" t="s">
        <v>302</v>
      </c>
      <c r="J50" s="326" t="s">
        <v>330</v>
      </c>
      <c r="K50" s="333" t="s">
        <v>319</v>
      </c>
      <c r="L50" s="330" t="s">
        <v>279</v>
      </c>
      <c r="M50" s="330" t="s">
        <v>258</v>
      </c>
      <c r="N50" s="330" t="s">
        <v>218</v>
      </c>
      <c r="O50" s="333" t="s">
        <v>215</v>
      </c>
      <c r="P50" s="294"/>
      <c r="Q50" s="294"/>
      <c r="R50" s="331" t="s">
        <v>320</v>
      </c>
      <c r="S50" s="341" t="s">
        <v>246</v>
      </c>
      <c r="T50" s="341" t="s">
        <v>236</v>
      </c>
      <c r="U50" s="362" t="s">
        <v>247</v>
      </c>
      <c r="V50" s="198" t="s">
        <v>248</v>
      </c>
    </row>
    <row r="51" spans="1:32" ht="34.5" hidden="1" customHeight="1">
      <c r="A51" s="393" t="s">
        <v>37</v>
      </c>
      <c r="B51" s="395">
        <v>3000</v>
      </c>
      <c r="C51" s="395" t="str">
        <f>'Log frame'!I15</f>
        <v>Expanded reach and resources leveraged through collective action with other national and international actors.​</v>
      </c>
      <c r="D51" s="395" t="s">
        <v>36</v>
      </c>
      <c r="E51" s="395" t="s">
        <v>36</v>
      </c>
      <c r="F51" s="395" t="s">
        <v>36</v>
      </c>
      <c r="G51" s="398" t="s">
        <v>36</v>
      </c>
      <c r="H51" s="326" t="s">
        <v>36</v>
      </c>
      <c r="I51" s="326" t="str">
        <f t="shared" si="0"/>
        <v>Mattson</v>
      </c>
      <c r="J51" s="398" t="s">
        <v>36</v>
      </c>
      <c r="K51" s="398" t="s">
        <v>36</v>
      </c>
      <c r="L51" s="398" t="s">
        <v>36</v>
      </c>
      <c r="M51" s="330"/>
      <c r="N51" s="398" t="s">
        <v>36</v>
      </c>
      <c r="O51" s="330" t="s">
        <v>36</v>
      </c>
      <c r="P51" s="330" t="s">
        <v>36</v>
      </c>
      <c r="Q51" s="330" t="s">
        <v>36</v>
      </c>
      <c r="R51" s="330" t="s">
        <v>36</v>
      </c>
      <c r="S51" s="398" t="s">
        <v>36</v>
      </c>
      <c r="T51" s="398" t="s">
        <v>36</v>
      </c>
      <c r="U51" s="361" t="s">
        <v>36</v>
      </c>
      <c r="V51" s="136" t="s">
        <v>207</v>
      </c>
    </row>
    <row r="52" spans="1:32" ht="34.5" hidden="1" customHeight="1">
      <c r="A52" s="399" t="s">
        <v>40</v>
      </c>
      <c r="B52" s="401">
        <v>3100</v>
      </c>
      <c r="C52" s="401" t="str">
        <f>'Log frame'!I17</f>
        <v>Increased government and non-government funding in alignment with HANWASH Core Values.</v>
      </c>
      <c r="D52" s="401" t="s">
        <v>157</v>
      </c>
      <c r="E52" s="401" t="s">
        <v>331</v>
      </c>
      <c r="F52" s="407" t="s">
        <v>158</v>
      </c>
      <c r="G52" s="405" t="s">
        <v>159</v>
      </c>
      <c r="H52" s="330" t="s">
        <v>332</v>
      </c>
      <c r="I52" s="330" t="str">
        <f t="shared" si="0"/>
        <v>Mattson</v>
      </c>
      <c r="J52" s="405" t="s">
        <v>333</v>
      </c>
      <c r="K52" s="403" t="s">
        <v>334</v>
      </c>
      <c r="L52" s="405" t="s">
        <v>335</v>
      </c>
      <c r="M52" s="330" t="s">
        <v>213</v>
      </c>
      <c r="N52" s="405" t="s">
        <v>236</v>
      </c>
      <c r="O52" s="350" t="s">
        <v>231</v>
      </c>
      <c r="P52" s="330"/>
      <c r="Q52" s="330"/>
      <c r="R52" s="330" t="s">
        <v>223</v>
      </c>
      <c r="S52" s="405" t="s">
        <v>336</v>
      </c>
      <c r="T52" s="405" t="s">
        <v>236</v>
      </c>
      <c r="U52" s="361" t="s">
        <v>231</v>
      </c>
      <c r="V52" s="328" t="s">
        <v>337</v>
      </c>
    </row>
    <row r="53" spans="1:32" ht="38.25" hidden="1" customHeight="1">
      <c r="A53" s="399" t="s">
        <v>40</v>
      </c>
      <c r="B53" s="401">
        <v>3100</v>
      </c>
      <c r="C53" s="401" t="str">
        <f>'Log frame'!I17</f>
        <v>Increased government and non-government funding in alignment with HANWASH Core Values.</v>
      </c>
      <c r="D53" s="409" t="s">
        <v>160</v>
      </c>
      <c r="E53" s="401" t="s">
        <v>338</v>
      </c>
      <c r="F53" s="407" t="s">
        <v>161</v>
      </c>
      <c r="G53" s="405" t="s">
        <v>162</v>
      </c>
      <c r="H53" s="330" t="s">
        <v>209</v>
      </c>
      <c r="I53" s="330" t="s">
        <v>222</v>
      </c>
      <c r="J53" s="405" t="s">
        <v>339</v>
      </c>
      <c r="K53" s="403" t="s">
        <v>334</v>
      </c>
      <c r="L53" s="405" t="s">
        <v>335</v>
      </c>
      <c r="M53" s="330" t="s">
        <v>213</v>
      </c>
      <c r="N53" s="405" t="s">
        <v>236</v>
      </c>
      <c r="O53" s="350" t="s">
        <v>231</v>
      </c>
      <c r="P53" s="330"/>
      <c r="Q53" s="330"/>
      <c r="R53" s="330" t="s">
        <v>223</v>
      </c>
      <c r="S53" s="405" t="s">
        <v>336</v>
      </c>
      <c r="T53" s="405" t="s">
        <v>236</v>
      </c>
      <c r="U53" s="361" t="s">
        <v>247</v>
      </c>
      <c r="V53" s="328" t="s">
        <v>240</v>
      </c>
      <c r="W53" s="8"/>
      <c r="X53" s="8"/>
      <c r="Y53" s="8"/>
      <c r="Z53" s="8"/>
      <c r="AA53" s="8"/>
      <c r="AB53" s="8"/>
      <c r="AC53" s="8"/>
      <c r="AD53" s="8"/>
      <c r="AE53" s="8"/>
      <c r="AF53" s="8"/>
    </row>
    <row r="54" spans="1:32" ht="34.5" hidden="1" customHeight="1">
      <c r="A54" s="357" t="s">
        <v>16</v>
      </c>
      <c r="B54" s="339">
        <v>3110</v>
      </c>
      <c r="C54" s="345" t="str">
        <f>'Log frame'!I19</f>
        <v>Mobilize and coordinate funding from government and non-government sources in HANWASH program areas in alignment with HANWASH Core Values.</v>
      </c>
      <c r="D54" s="326" t="s">
        <v>163</v>
      </c>
      <c r="E54" s="326" t="s">
        <v>340</v>
      </c>
      <c r="F54" s="340" t="s">
        <v>164</v>
      </c>
      <c r="G54" s="352" t="s">
        <v>159</v>
      </c>
      <c r="H54" s="326" t="s">
        <v>332</v>
      </c>
      <c r="I54" s="326" t="str">
        <f t="shared" si="0"/>
        <v>Mattson</v>
      </c>
      <c r="J54" s="326" t="s">
        <v>341</v>
      </c>
      <c r="K54" s="333" t="s">
        <v>334</v>
      </c>
      <c r="L54" s="330" t="s">
        <v>335</v>
      </c>
      <c r="M54" s="330" t="s">
        <v>213</v>
      </c>
      <c r="N54" s="330" t="s">
        <v>236</v>
      </c>
      <c r="O54" s="333" t="s">
        <v>231</v>
      </c>
      <c r="P54" s="294"/>
      <c r="Q54" s="294"/>
      <c r="R54" s="341" t="s">
        <v>223</v>
      </c>
      <c r="S54" s="341" t="s">
        <v>336</v>
      </c>
      <c r="T54" s="341" t="s">
        <v>236</v>
      </c>
      <c r="U54" s="359" t="s">
        <v>231</v>
      </c>
      <c r="V54" s="198" t="s">
        <v>337</v>
      </c>
    </row>
    <row r="55" spans="1:32" ht="34.5" hidden="1" customHeight="1">
      <c r="A55" s="357" t="s">
        <v>16</v>
      </c>
      <c r="B55" s="339">
        <v>3120</v>
      </c>
      <c r="C55" s="345" t="str">
        <f>'Log frame'!I21</f>
        <v>Mobilize and influence funding from government and non-government sources beyond HANWASH program areas in alignment with HANWASH Core Values.</v>
      </c>
      <c r="D55" s="326" t="s">
        <v>165</v>
      </c>
      <c r="E55" s="326" t="s">
        <v>342</v>
      </c>
      <c r="F55" s="340" t="s">
        <v>166</v>
      </c>
      <c r="G55" s="352" t="s">
        <v>159</v>
      </c>
      <c r="H55" s="326" t="s">
        <v>332</v>
      </c>
      <c r="I55" s="326" t="s">
        <v>302</v>
      </c>
      <c r="J55" s="326" t="s">
        <v>341</v>
      </c>
      <c r="K55" s="333" t="s">
        <v>334</v>
      </c>
      <c r="L55" s="330" t="s">
        <v>335</v>
      </c>
      <c r="M55" s="330" t="s">
        <v>213</v>
      </c>
      <c r="N55" s="330" t="s">
        <v>236</v>
      </c>
      <c r="O55" s="333" t="s">
        <v>231</v>
      </c>
      <c r="P55" s="294"/>
      <c r="Q55" s="294"/>
      <c r="R55" s="341" t="s">
        <v>223</v>
      </c>
      <c r="S55" s="341" t="s">
        <v>336</v>
      </c>
      <c r="T55" s="341" t="s">
        <v>236</v>
      </c>
      <c r="U55" s="359" t="s">
        <v>231</v>
      </c>
      <c r="V55" s="198" t="s">
        <v>337</v>
      </c>
    </row>
    <row r="56" spans="1:32" ht="34.5" hidden="1" customHeight="1">
      <c r="A56" s="399" t="s">
        <v>40</v>
      </c>
      <c r="B56" s="416">
        <v>3200</v>
      </c>
      <c r="C56" s="417" t="str">
        <f>'Log frame'!J17</f>
        <v>Increased capacity of DINEPA to regulate the sector and OREPA to oversee and support implementation.</v>
      </c>
      <c r="D56" s="405" t="s">
        <v>167</v>
      </c>
      <c r="E56" s="401" t="s">
        <v>343</v>
      </c>
      <c r="F56" s="401" t="s">
        <v>168</v>
      </c>
      <c r="G56" s="400" t="s">
        <v>169</v>
      </c>
      <c r="H56" s="339" t="s">
        <v>227</v>
      </c>
      <c r="I56" s="339" t="str">
        <f t="shared" si="0"/>
        <v>Mattson</v>
      </c>
      <c r="J56" s="401" t="s">
        <v>344</v>
      </c>
      <c r="K56" s="403" t="s">
        <v>345</v>
      </c>
      <c r="L56" s="401" t="s">
        <v>336</v>
      </c>
      <c r="M56" s="326" t="s">
        <v>213</v>
      </c>
      <c r="N56" s="401" t="s">
        <v>236</v>
      </c>
      <c r="O56" s="326" t="s">
        <v>36</v>
      </c>
      <c r="P56" s="326" t="s">
        <v>36</v>
      </c>
      <c r="Q56" s="326" t="s">
        <v>36</v>
      </c>
      <c r="R56" s="326" t="s">
        <v>36</v>
      </c>
      <c r="S56" s="401" t="s">
        <v>270</v>
      </c>
      <c r="T56" s="401" t="s">
        <v>236</v>
      </c>
      <c r="U56" s="358" t="s">
        <v>36</v>
      </c>
      <c r="V56" s="136" t="s">
        <v>346</v>
      </c>
    </row>
    <row r="57" spans="1:32" ht="34.5" customHeight="1" thickBot="1">
      <c r="A57" s="363" t="s">
        <v>16</v>
      </c>
      <c r="B57" s="364">
        <v>3220</v>
      </c>
      <c r="C57" s="365" t="str">
        <f>'Log frame'!J21</f>
        <v>Provide technical assistance and training to DINEPA and the OREPAs.</v>
      </c>
      <c r="D57" s="366" t="s">
        <v>170</v>
      </c>
      <c r="E57" s="366" t="s">
        <v>347</v>
      </c>
      <c r="F57" s="367" t="s">
        <v>171</v>
      </c>
      <c r="G57" s="368" t="s">
        <v>172</v>
      </c>
      <c r="H57" s="368" t="s">
        <v>209</v>
      </c>
      <c r="I57" s="368" t="str">
        <f t="shared" si="0"/>
        <v>Mattson</v>
      </c>
      <c r="J57" s="366" t="s">
        <v>228</v>
      </c>
      <c r="K57" s="369" t="s">
        <v>211</v>
      </c>
      <c r="L57" s="366" t="s">
        <v>279</v>
      </c>
      <c r="M57" s="366" t="s">
        <v>213</v>
      </c>
      <c r="N57" s="370" t="s">
        <v>268</v>
      </c>
      <c r="O57" s="369" t="s">
        <v>215</v>
      </c>
      <c r="P57" s="371"/>
      <c r="Q57" s="371"/>
      <c r="R57" s="370" t="s">
        <v>223</v>
      </c>
      <c r="S57" s="370" t="s">
        <v>217</v>
      </c>
      <c r="T57" s="370" t="s">
        <v>218</v>
      </c>
      <c r="U57" s="372" t="s">
        <v>215</v>
      </c>
      <c r="V57" s="198" t="s">
        <v>240</v>
      </c>
    </row>
  </sheetData>
  <autoFilter ref="A11:N57" xr:uid="{BE8B9DD6-C48E-49B4-B8BB-6D4871740D80}">
    <filterColumn colId="11">
      <filters>
        <filter val="Mayors &amp; Partner of Implementation"/>
        <filter val="Partner of implementation"/>
      </filters>
    </filterColumn>
  </autoFilter>
  <mergeCells count="19">
    <mergeCell ref="A5:C5"/>
    <mergeCell ref="F5:T5"/>
    <mergeCell ref="A1:C1"/>
    <mergeCell ref="A2:C2"/>
    <mergeCell ref="A3:C3"/>
    <mergeCell ref="A4:C4"/>
    <mergeCell ref="F4:T4"/>
    <mergeCell ref="V10:V11"/>
    <mergeCell ref="A6:C6"/>
    <mergeCell ref="F6:T6"/>
    <mergeCell ref="A7:C7"/>
    <mergeCell ref="F7:T7"/>
    <mergeCell ref="A8:C8"/>
    <mergeCell ref="F8:T8"/>
    <mergeCell ref="A10:C10"/>
    <mergeCell ref="D10:J10"/>
    <mergeCell ref="K10:O10"/>
    <mergeCell ref="P10:Q10"/>
    <mergeCell ref="R10:U10"/>
  </mergeCells>
  <hyperlinks>
    <hyperlink ref="K33" r:id="rId1" location="/forms/d97abfe8b83843dcb03c5b1d72e01f93/preview" xr:uid="{4AA0C053-6D3A-428C-9932-DB08B5B9DDCE}"/>
    <hyperlink ref="R21" r:id="rId2" location="/forms/530fe4e5a09f42d0a96cef1b855a5241/preview" display="HANWASH household audit" xr:uid="{56BAD6BE-C7D1-4CF7-9819-105FC5D0F64B}"/>
    <hyperlink ref="K40" r:id="rId3" location="/forms/76ba0885e88a4c20b8686aa9204acd30" display="Implementation event tracking form" xr:uid="{A9198A8C-2547-4C2D-87DA-55DBFB5C153C}"/>
    <hyperlink ref="K14" r:id="rId4" location="/forms/76ba0885e88a4c20b8686aa9204acd30" xr:uid="{38DFCA08-1C7D-41F0-9CB7-37ECB9F5BB8E}"/>
    <hyperlink ref="K16" r:id="rId5" location="/forms/76ba0885e88a4c20b8686aa9204acd30" xr:uid="{41687844-65F8-4B79-A5C7-0D49AD0D8875}"/>
    <hyperlink ref="K19" r:id="rId6" location="/forms/76ba0885e88a4c20b8686aa9204acd30" xr:uid="{2BC18D10-0902-44FA-95E2-103B085619F7}"/>
    <hyperlink ref="K21" r:id="rId7" location="/forms/fad15f51bbf44bb0bf9c36f08887c2dd" display="Water point survey (type &amp; functionality) + rapid community assessment (HH count)" xr:uid="{E466704F-5C5B-429E-BFED-B1DB21B11DBD}"/>
    <hyperlink ref="K23" r:id="rId8" location="/forms/d97abfe8b83843dcb03c5b1d72e01f93/preview" display="SAEP monthly report" xr:uid="{F809CC47-93DF-4497-8AFE-946D7E6039F9}"/>
    <hyperlink ref="K27" r:id="rId9" location="/forms/d97abfe8b83843dcb03c5b1d72e01f93/preview" xr:uid="{84FCAB78-2DD5-48FC-9152-7D871ED81717}"/>
    <hyperlink ref="K43" r:id="rId10" location="/forms/802cd40b8ada491eae959778d70597bf" xr:uid="{AE5408D6-E7CC-45FE-B496-593998BF037A}"/>
    <hyperlink ref="K45" r:id="rId11" location="/forms/802cd40b8ada491eae959778d70597bf" xr:uid="{45DFFBE2-9611-441F-A5B0-91FBD69BE916}"/>
    <hyperlink ref="K47" r:id="rId12" location="/forms/802cd40b8ada491eae959778d70597bf" xr:uid="{6FA93EC4-6E04-4C7C-AF0B-97711005AFF9}"/>
    <hyperlink ref="K49" r:id="rId13" location="/forms/802cd40b8ada491eae959778d70597bf" xr:uid="{DE28BA45-CE04-4CAE-849E-3781FB690167}"/>
    <hyperlink ref="K44" r:id="rId14" location="/forms/b823db9a3c794e3bbfb204540990c2c8" xr:uid="{5B573756-C78F-4922-836E-ED1CA1A66BD2}"/>
    <hyperlink ref="K46" r:id="rId15" location="/forms/b823db9a3c794e3bbfb204540990c2c8" xr:uid="{FC59CCC1-9B4A-4366-BE0A-88F0FE350A91}"/>
    <hyperlink ref="K48" r:id="rId16" location="/forms/b823db9a3c794e3bbfb204540990c2c8" xr:uid="{B462B439-4501-48E7-8110-35C59B18DC1C}"/>
    <hyperlink ref="K50" r:id="rId17" location="/forms/b823db9a3c794e3bbfb204540990c2c8" xr:uid="{B2E41B67-45B5-4B16-9EDB-819B38A2C7EE}"/>
    <hyperlink ref="K32" r:id="rId18" location="/forms/fad15f51bbf44bb0bf9c36f08887c2dd" display="Water point survey (type &amp; functionality) + rapid community assessment (HH count)" xr:uid="{F85CCF0A-675F-4D01-94A8-22C9A7518E8C}"/>
    <hyperlink ref="K57" r:id="rId19" location="/forms/76ba0885e88a4c20b8686aa9204acd30" xr:uid="{5BEB7FE7-0662-45EF-B59A-7B8BBB7FA584}"/>
    <hyperlink ref="P17" r:id="rId20" location="/consoles/818a590d510e40728bc1e969aa98c0db?tab=e4139e54-32f5-49d7-872a-9c40004944f3" xr:uid="{5DBCE81B-26A2-4AFA-9BD1-C5B9DB90070F}"/>
    <hyperlink ref="P21" r:id="rId21" location="/forms/fad15f51bbf44bb0bf9c36f08887c2dd" display="Water point survey (type &amp; functionality) + rapid community assessment (HH count)" xr:uid="{F2571409-7BAB-4C50-BA39-2F1749FF0407}"/>
    <hyperlink ref="O21" r:id="rId22" location="/consoles/1d080c5b8c154825b446b267319a8288?tab=b96fe26a-1712-43b1-a86b-26e9f7b833b4" xr:uid="{70D21E0F-98F6-4630-A500-54EC8434C3DC}"/>
    <hyperlink ref="O17" r:id="rId23" location="/consoles/818a590d510e40728bc1e969aa98c0db?tab=e4139e54-32f5-49d7-872a-9c40004944f3" xr:uid="{8A86B8AC-80B3-412F-9B32-331FC871CFD4}"/>
    <hyperlink ref="O29" r:id="rId24" location="/consoles/1d080c5b8c154825b446b267319a8288?tab=b96fe26a-1712-43b1-a86b-26e9f7b833b4" xr:uid="{C9FBCC8C-B4FC-40FE-AC79-9DB97CB04E5E}"/>
    <hyperlink ref="O30" r:id="rId25" location="/consoles/1d080c5b8c154825b446b267319a8288?tab=b96fe26a-1712-43b1-a86b-26e9f7b833b4" xr:uid="{93BC7C69-1CF4-483B-9224-6A0BCE80A16D}"/>
    <hyperlink ref="O36" r:id="rId26" location="/consoles/1d080c5b8c154825b446b267319a8288?tab=b96fe26a-1712-43b1-a86b-26e9f7b833b4" xr:uid="{7BE1A71E-E047-4E59-98F7-139BDD4D2A26}"/>
    <hyperlink ref="O43" r:id="rId27" location="/consoles/1d080c5b8c154825b446b267319a8288?tab=b96fe26a-1712-43b1-a86b-26e9f7b833b4" xr:uid="{B29B780A-87A1-402F-A8B9-20607BC61F86}"/>
    <hyperlink ref="O44" r:id="rId28" location="/consoles/1d080c5b8c154825b446b267319a8288?tab=b96fe26a-1712-43b1-a86b-26e9f7b833b4" xr:uid="{C990A311-C87D-43C9-ABB4-A1A1BBC24D64}"/>
    <hyperlink ref="O14" r:id="rId29" location="/consoles/1d080c5b8c154825b446b267319a8288?tab=b96fe26a-1712-43b1-a86b-26e9f7b833b4" xr:uid="{46EE1C59-C3F2-4F6F-A78A-B9322969BA16}"/>
    <hyperlink ref="O16" r:id="rId30" location="/consoles/1d080c5b8c154825b446b267319a8288?tab=b96fe26a-1712-43b1-a86b-26e9f7b833b4" xr:uid="{7BCC78D7-BAA1-45FF-9738-8850891775CA}"/>
    <hyperlink ref="O18" r:id="rId31" location="/consoles/818a590d510e40728bc1e969aa98c0db?tab=e4139e54-32f5-49d7-872a-9c40004944f3" xr:uid="{64FB6E46-516A-4B16-8A12-751BA01666CA}"/>
    <hyperlink ref="O19" r:id="rId32" location="/consoles/1d080c5b8c154825b446b267319a8288?tab=b96fe26a-1712-43b1-a86b-26e9f7b833b4" xr:uid="{F48CADB6-4F47-4BE2-AAD5-6C082B557EA9}"/>
    <hyperlink ref="O23" r:id="rId33" location="/consoles/1d080c5b8c154825b446b267319a8288?tab=b96fe26a-1712-43b1-a86b-26e9f7b833b4" xr:uid="{E2A15FAA-EE82-4229-9D1C-6DA4177244B9}"/>
    <hyperlink ref="O27" r:id="rId34" location="/consoles/1d080c5b8c154825b446b267319a8288?tab=b96fe26a-1712-43b1-a86b-26e9f7b833b4" xr:uid="{C1459701-251A-4627-92B0-D21D75008561}"/>
    <hyperlink ref="O32" r:id="rId35" location="/consoles/1d080c5b8c154825b446b267319a8288?tab=b96fe26a-1712-43b1-a86b-26e9f7b833b4" xr:uid="{84F73311-E9D8-4138-8D86-F7C870F85E0C}"/>
    <hyperlink ref="O33" r:id="rId36" location="/consoles/1d080c5b8c154825b446b267319a8288?tab=b96fe26a-1712-43b1-a86b-26e9f7b833b4" xr:uid="{C179A70E-3C2F-4C40-BD4A-879F891E3FCD}"/>
    <hyperlink ref="O37" r:id="rId37" location="/consoles/1d080c5b8c154825b446b267319a8288?tab=b96fe26a-1712-43b1-a86b-26e9f7b833b4" xr:uid="{AA19D84B-E9B3-4127-BF63-280550D0A4AB}"/>
    <hyperlink ref="O40" r:id="rId38" location="/consoles/1d080c5b8c154825b446b267319a8288?tab=b96fe26a-1712-43b1-a86b-26e9f7b833b4" xr:uid="{2D9B4E27-3B78-4827-9566-CB3349BDC1EC}"/>
    <hyperlink ref="O42" r:id="rId39" location="/consoles/1d080c5b8c154825b446b267319a8288?tab=b96fe26a-1712-43b1-a86b-26e9f7b833b4" xr:uid="{B258DEB3-8E4C-4D51-8F49-78B3CC47388D}"/>
    <hyperlink ref="O45" r:id="rId40" location="/consoles/1d080c5b8c154825b446b267319a8288?tab=b96fe26a-1712-43b1-a86b-26e9f7b833b4" xr:uid="{2603412C-7825-41D2-8C69-AC9961A04E25}"/>
    <hyperlink ref="O46" r:id="rId41" location="/consoles/1d080c5b8c154825b446b267319a8288?tab=b96fe26a-1712-43b1-a86b-26e9f7b833b4" xr:uid="{1F67EB6E-B9F4-45CB-A3F1-4AD3C71C3C3A}"/>
    <hyperlink ref="O47" r:id="rId42" location="/consoles/1d080c5b8c154825b446b267319a8288?tab=b96fe26a-1712-43b1-a86b-26e9f7b833b4" xr:uid="{4219BCC0-533C-4057-B698-8FDFDBBD1DE4}"/>
    <hyperlink ref="O48" r:id="rId43" location="/consoles/1d080c5b8c154825b446b267319a8288?tab=b96fe26a-1712-43b1-a86b-26e9f7b833b4" xr:uid="{A9EF5768-97E5-44D7-9202-396172C8738C}"/>
    <hyperlink ref="O49" r:id="rId44" location="/consoles/1d080c5b8c154825b446b267319a8288?tab=b96fe26a-1712-43b1-a86b-26e9f7b833b4" xr:uid="{0712D177-0C3C-4F00-991D-02ABF21CD03C}"/>
    <hyperlink ref="O50" r:id="rId45" location="/consoles/1d080c5b8c154825b446b267319a8288?tab=b96fe26a-1712-43b1-a86b-26e9f7b833b4" xr:uid="{A87915B3-4E35-4BE4-8B7C-74158F9D7004}"/>
    <hyperlink ref="O54" r:id="rId46" location="/consoles/818a590d510e40728bc1e969aa98c0db?tab=e4139e54-32f5-49d7-872a-9c40004944f3" xr:uid="{DED7C97E-9E6E-45D7-8E7C-D2CD621F3939}"/>
    <hyperlink ref="O55" r:id="rId47" location="/consoles/818a590d510e40728bc1e969aa98c0db?tab=e4139e54-32f5-49d7-872a-9c40004944f3" xr:uid="{D6A13A30-9240-4A31-B418-389DD092BF58}"/>
    <hyperlink ref="O57" r:id="rId48" location="/consoles/1d080c5b8c154825b446b267319a8288?tab=b96fe26a-1712-43b1-a86b-26e9f7b833b4" xr:uid="{A9DF7581-F591-4B12-9B04-77BBE9FC5974}"/>
    <hyperlink ref="U17" r:id="rId49" location="/consoles/818a590d510e40728bc1e969aa98c0db?tab=e4139e54-32f5-49d7-872a-9c40004944f3" xr:uid="{94C35002-C888-46CD-B990-50C0154AC6B1}"/>
    <hyperlink ref="U14" r:id="rId50" location="/consoles/1d080c5b8c154825b446b267319a8288?tab=b96fe26a-1712-43b1-a86b-26e9f7b833b4" xr:uid="{A9BBA78E-BF94-4C96-A8C5-F465A78E9501}"/>
    <hyperlink ref="U16" r:id="rId51" location="/consoles/1d080c5b8c154825b446b267319a8288?tab=b96fe26a-1712-43b1-a86b-26e9f7b833b4" xr:uid="{591B5093-038C-43E5-A36B-BB350B2D5293}"/>
    <hyperlink ref="U18" r:id="rId52" location="/consoles/818a590d510e40728bc1e969aa98c0db?tab=e4139e54-32f5-49d7-872a-9c40004944f3" xr:uid="{4A176D06-FDB2-4786-B566-75B8F305EF12}"/>
    <hyperlink ref="R29" r:id="rId53" location="/forms/530fe4e5a09f42d0a96cef1b855a5241/preview" xr:uid="{9B2B4AC3-1C11-4D5F-8BD5-0D2A63FCAA15}"/>
    <hyperlink ref="R30" r:id="rId54" location="/forms/530fe4e5a09f42d0a96cef1b855a5241/preview" xr:uid="{72643A54-EC1B-4999-A480-19BF2FF12BC0}"/>
    <hyperlink ref="R36" r:id="rId55" location="/forms/530fe4e5a09f42d0a96cef1b855a5241/preview" xr:uid="{8A4B07CE-8A2B-4510-B618-35E4260BBFD1}"/>
    <hyperlink ref="R43" r:id="rId56" location="/forms/802cd40b8ada491eae959778d70597bf" xr:uid="{8EDBB526-7C13-4EED-A406-B3C33185748E}"/>
    <hyperlink ref="R44" r:id="rId57" location="/forms/b823db9a3c794e3bbfb204540990c2c8" xr:uid="{0C0072CB-FB3C-4FBB-8B50-E40005FD314E}"/>
    <hyperlink ref="U23" r:id="rId58" location="/consoles/1d080c5b8c154825b446b267319a8288?tab=b96fe26a-1712-43b1-a86b-26e9f7b833b4" xr:uid="{DB7E0372-F4DC-4FEB-8AF5-9D779F662E95}"/>
    <hyperlink ref="U27" r:id="rId59" location="/consoles/1d080c5b8c154825b446b267319a8288?tab=b96fe26a-1712-43b1-a86b-26e9f7b833b4" xr:uid="{E625CFBD-159B-461E-B3A7-FD6EAF732594}"/>
    <hyperlink ref="R32" r:id="rId60" location="/forms/530fe4e5a09f42d0a96cef1b855a5241/preview" xr:uid="{FB17302A-A697-4232-80AA-604294F757F1}"/>
    <hyperlink ref="R33" r:id="rId61" location="/forms/530fe4e5a09f42d0a96cef1b855a5241/preview" xr:uid="{7591A25F-7EAA-481A-B6CA-38484F6F5CA5}"/>
    <hyperlink ref="R37" r:id="rId62" location="/forms/530fe4e5a09f42d0a96cef1b855a5241/preview" xr:uid="{8F2AF4A3-DB8E-4BB4-935B-6473C15E5AD1}"/>
    <hyperlink ref="U40" r:id="rId63" location="/consoles/1d080c5b8c154825b446b267319a8288?tab=b96fe26a-1712-43b1-a86b-26e9f7b833b4" xr:uid="{A9F91ECD-886C-4CDA-B4F9-C38BED9AAF3C}"/>
    <hyperlink ref="U42" r:id="rId64" location="/consoles/1d080c5b8c154825b446b267319a8288?tab=b96fe26a-1712-43b1-a86b-26e9f7b833b4" xr:uid="{943FF73B-6272-48CF-A37B-746A4FF9C509}"/>
    <hyperlink ref="R45" r:id="rId65" location="/forms/802cd40b8ada491eae959778d70597bf" xr:uid="{19C2C5BB-17C3-4D66-B40A-B2D8174E8FEE}"/>
    <hyperlink ref="R47" r:id="rId66" location="/forms/802cd40b8ada491eae959778d70597bf" xr:uid="{5C3073AF-B3DF-4566-9664-7F4EA5CF25DA}"/>
    <hyperlink ref="R49" r:id="rId67" location="/forms/802cd40b8ada491eae959778d70597bf" xr:uid="{384E68EB-EBE3-4BAF-A417-611EC8F6F64D}"/>
    <hyperlink ref="R46" r:id="rId68" location="/forms/b823db9a3c794e3bbfb204540990c2c8" xr:uid="{FF3AB6C0-44C3-48CC-BF1C-F6B9FFBF4BCD}"/>
    <hyperlink ref="R48" r:id="rId69" location="/forms/b823db9a3c794e3bbfb204540990c2c8" xr:uid="{47E2373D-8678-4D04-8AF7-F9BE2073B1C3}"/>
    <hyperlink ref="R50" r:id="rId70" location="/forms/b823db9a3c794e3bbfb204540990c2c8" xr:uid="{6E791DAC-0677-4EC3-829C-96D0BA107D5A}"/>
    <hyperlink ref="U52" r:id="rId71" location="/consoles/818a590d510e40728bc1e969aa98c0db?tab=e4139e54-32f5-49d7-872a-9c40004944f3" xr:uid="{0687A8BE-2B21-4B0E-BCA4-3E8231E7E020}"/>
    <hyperlink ref="U54" r:id="rId72" location="/consoles/818a590d510e40728bc1e969aa98c0db?tab=e4139e54-32f5-49d7-872a-9c40004944f3" xr:uid="{7A57E481-3094-4430-A476-01735F7FA649}"/>
    <hyperlink ref="U55" r:id="rId73" location="/consoles/818a590d510e40728bc1e969aa98c0db?tab=e4139e54-32f5-49d7-872a-9c40004944f3" xr:uid="{3266FA79-A704-402E-BB94-B22B43D00554}"/>
    <hyperlink ref="U57" r:id="rId74" location="/consoles/1d080c5b8c154825b446b267319a8288?tab=b96fe26a-1712-43b1-a86b-26e9f7b833b4" xr:uid="{6E99A878-FC89-414B-8946-33CC2611CB45}"/>
    <hyperlink ref="U19" r:id="rId75" location="/consoles/1d080c5b8c154825b446b267319a8288?tab=b96fe26a-1712-43b1-a86b-26e9f7b833b4" xr:uid="{AD7CD95E-3A8C-436A-9B02-CD58CC9A15D7}"/>
    <hyperlink ref="A5" r:id="rId76" xr:uid="{CF6312F0-04EB-4A1F-AEDF-8B3874053B67}"/>
    <hyperlink ref="O38" r:id="rId77" location="/consoles/1d080c5b8c154825b446b267319a8288?tab=b96fe26a-1712-43b1-a86b-26e9f7b833b4" xr:uid="{4CE20409-8566-40B1-A15B-0F7BB2AC42A3}"/>
    <hyperlink ref="R38" r:id="rId78" location="/forms/530fe4e5a09f42d0a96cef1b855a5241/preview" xr:uid="{B43388E7-DD6F-4097-9DE5-89763F96BC2C}"/>
    <hyperlink ref="K35" r:id="rId79" location="/forms/e045ce2509964909bed52a842b28dffd" display="ODF verification and certification" xr:uid="{10C489E7-B500-4DD3-8522-051AA71C9E91}"/>
    <hyperlink ref="O35" r:id="rId80" location="/consoles/1d080c5b8c154825b446b267319a8288?tab=b96fe26a-1712-43b1-a86b-26e9f7b833b4" xr:uid="{10A39CDC-580D-4AE1-9BA4-C28EECFA87E3}"/>
    <hyperlink ref="R35" r:id="rId81" location="/forms/530fe4e5a09f42d0a96cef1b855a5241/preview" xr:uid="{91454A36-D802-4435-981F-7D3C4B1D5134}"/>
    <hyperlink ref="O34" r:id="rId82" location="/consoles/1d080c5b8c154825b446b267319a8288?tab=b96fe26a-1712-43b1-a86b-26e9f7b833b4" xr:uid="{17972019-742D-4A7F-A145-8577FE48928F}"/>
    <hyperlink ref="R34" r:id="rId83" location="/forms/530fe4e5a09f42d0a96cef1b855a5241/preview" xr:uid="{2D73C269-AE6C-4051-8E21-901812EEF536}"/>
    <hyperlink ref="O39" r:id="rId84" location="/consoles/1d080c5b8c154825b446b267319a8288?tab=b96fe26a-1712-43b1-a86b-26e9f7b833b4" xr:uid="{276B43B2-4B3E-4339-BF6A-1718409CC436}"/>
    <hyperlink ref="R39" r:id="rId85" location="/forms/530fe4e5a09f42d0a96cef1b855a5241/preview" xr:uid="{21643AB8-3198-4AC3-A7AE-A0C5926EA7B2}"/>
    <hyperlink ref="K34" r:id="rId86" location="/forms/2bd65fbd2daf4064ac60694210797595" display="Rapid community assessment" xr:uid="{9A825942-2614-4635-9655-B208EEB6FDC2}"/>
    <hyperlink ref="K39" r:id="rId87" location="/forms/530fe4e5a09f42d0a96cef1b855a5241/preview" xr:uid="{7928BFAE-D5B9-4011-8224-8E74F6A98366}"/>
    <hyperlink ref="K36" r:id="rId88" location="/forms/530fe4e5a09f42d0a96cef1b855a5241/preview" xr:uid="{FDBF1B35-88C1-43E5-BC4D-838F9B543ED5}"/>
    <hyperlink ref="K30" r:id="rId89" location="/forms/530fe4e5a09f42d0a96cef1b855a5241/preview" xr:uid="{AFE61B26-909C-472A-88D3-BD6C43D01F0F}"/>
    <hyperlink ref="K29" r:id="rId90" location="/forms/530fe4e5a09f42d0a96cef1b855a5241/preview" xr:uid="{D5D23086-FC4D-4C28-B3B4-FFE19B510777}"/>
    <hyperlink ref="K37" r:id="rId91" location="/forms/530fe4e5a09f42d0a96cef1b855a5241/preview" xr:uid="{EE4FF369-0142-4712-9A85-AF56B0289719}"/>
    <hyperlink ref="K42" r:id="rId92" location="/forms/e045ce2509964909bed52a842b28dffd" display="ODF verification and certification" xr:uid="{4990F4DC-B6B6-45B5-8D86-4AA162399F06}"/>
    <hyperlink ref="O20" r:id="rId93" location="/consoles/1d080c5b8c154825b446b267319a8288?tab=b96fe26a-1712-43b1-a86b-26e9f7b833b4" xr:uid="{EDB3EE62-82A6-43B1-BBF8-71D4D1C28496}"/>
    <hyperlink ref="R20" r:id="rId94" location="/forms/530fe4e5a09f42d0a96cef1b855a5241/preview" display="HANWASH household audit" xr:uid="{FD2E7C1A-AF6C-4C65-BA96-B785EB4F7271}"/>
    <hyperlink ref="K31" r:id="rId95" location="/forms/fad15f51bbf44bb0bf9c36f08887c2dd" display="Water point survey (type &amp; functionality) + rapid community assessment (HH count)" xr:uid="{BE319BD6-A917-4F65-A543-8FF37A75C874}"/>
    <hyperlink ref="O31" r:id="rId96" location="/consoles/1d080c5b8c154825b446b267319a8288?tab=b96fe26a-1712-43b1-a86b-26e9f7b833b4" xr:uid="{B3A20F3A-708A-432C-8417-9191195016AB}"/>
    <hyperlink ref="R31" r:id="rId97" location="/forms/530fe4e5a09f42d0a96cef1b855a5241/preview" display="HANWASH household audit" xr:uid="{0DDD116A-2BB6-4AE6-B102-B2D7D2F7252D}"/>
    <hyperlink ref="K56" r:id="rId98" location="/tables/ts109/t6" xr:uid="{62C8EDA4-62BE-494E-80D7-0C6190BCE693}"/>
    <hyperlink ref="O53" r:id="rId99" location="/consoles/818a590d510e40728bc1e969aa98c0db?tab=e4139e54-32f5-49d7-872a-9c40004944f3" xr:uid="{C94180F5-1BC5-4576-8A8F-DF50D71C1C4B}"/>
    <hyperlink ref="O52" r:id="rId100" location="/consoles/818a590d510e40728bc1e969aa98c0db?tab=e4139e54-32f5-49d7-872a-9c40004944f3" xr:uid="{9466B299-22BE-4A5E-81C4-2BCF6EE60117}"/>
    <hyperlink ref="K22" r:id="rId101" location="/forms/fad15f51bbf44bb0bf9c36f08887c2dd" display="Water point survey (type &amp; functionality) + rapid community assessment (HH count)" xr:uid="{747584CF-E79D-46FA-8E41-8E07797D4EF2}"/>
    <hyperlink ref="O22" r:id="rId102" location="/consoles/1d080c5b8c154825b446b267319a8288?tab=b96fe26a-1712-43b1-a86b-26e9f7b833b4" xr:uid="{CCE748FF-A185-4EE4-8617-C077B8DECB5D}"/>
    <hyperlink ref="P22" r:id="rId103" location="/forms/530fe4e5a09f42d0a96cef1b855a5241/preview" display="HANWASH household audit" xr:uid="{98B11C7C-9034-4B06-97E9-4C2FB0D7B505}"/>
    <hyperlink ref="K15" r:id="rId104" location="/forms/76ba0885e88a4c20b8686aa9204acd30" xr:uid="{C1FCB2AF-76ED-4E91-B638-61661D71B3CE}"/>
    <hyperlink ref="O15" r:id="rId105" location="/consoles/1d080c5b8c154825b446b267319a8288?tab=b96fe26a-1712-43b1-a86b-26e9f7b833b4" xr:uid="{168A7A3D-C87B-4488-9C61-4AAF5AEEBC74}"/>
    <hyperlink ref="K41" r:id="rId106" location="/forms/76ba0885e88a4c20b8686aa9204acd30" display="Implementation event tracking form" xr:uid="{346F40FF-D0FD-493E-B3FB-8CA1BF23E51C}"/>
    <hyperlink ref="O41" r:id="rId107" location="/consoles/1d080c5b8c154825b446b267319a8288?tab=b96fe26a-1712-43b1-a86b-26e9f7b833b4" xr:uid="{AE35D444-2276-4DA8-86C9-8AF8C49B1640}"/>
    <hyperlink ref="U41" r:id="rId108" location="/consoles/1d080c5b8c154825b446b267319a8288?tab=b96fe26a-1712-43b1-a86b-26e9f7b833b4" xr:uid="{5C8C5736-8C09-42B4-9777-C525987F7995}"/>
    <hyperlink ref="K24" r:id="rId109" location="/forms/d97abfe8b83843dcb03c5b1d72e01f93/preview" display="SAEP monthly report" xr:uid="{4F55BE6D-D69D-493D-9A00-EE914DFDAF12}"/>
    <hyperlink ref="O24" r:id="rId110" location="/consoles/1d080c5b8c154825b446b267319a8288?tab=b96fe26a-1712-43b1-a86b-26e9f7b833b4" xr:uid="{A1F062F0-DFB4-45CA-BCE5-EF19514FE210}"/>
    <hyperlink ref="U24" r:id="rId111" location="/consoles/1d080c5b8c154825b446b267319a8288?tab=b96fe26a-1712-43b1-a86b-26e9f7b833b4" xr:uid="{60981383-E731-464A-A9BB-95E281383502}"/>
  </hyperlinks>
  <pageMargins left="0.7" right="0.7" top="0.75" bottom="0.75" header="0.3" footer="0.3"/>
  <pageSetup fitToWidth="0" orientation="portrait"/>
  <legacyDrawing r:id="rId11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E8760-63DE-4E63-965A-1E5C664E06D6}">
  <sheetPr filterMode="1">
    <pageSetUpPr fitToPage="1"/>
  </sheetPr>
  <dimension ref="A1:AF57"/>
  <sheetViews>
    <sheetView topLeftCell="F5" zoomScale="88" zoomScaleNormal="88" workbookViewId="0">
      <selection activeCell="L40" sqref="L40"/>
    </sheetView>
  </sheetViews>
  <sheetFormatPr defaultColWidth="11" defaultRowHeight="15.75" customHeight="1"/>
  <cols>
    <col min="1" max="1" width="19.375" style="20" customWidth="1"/>
    <col min="2" max="2" width="7.375" style="7" customWidth="1"/>
    <col min="3" max="3" width="52.125" style="43" customWidth="1"/>
    <col min="4" max="4" width="12.75" style="8" bestFit="1" customWidth="1"/>
    <col min="5" max="5" width="71.125" style="7" customWidth="1"/>
    <col min="6" max="6" width="71.5" style="7" customWidth="1"/>
    <col min="7" max="7" width="17.625" customWidth="1"/>
    <col min="8" max="9" width="11.875" style="7" hidden="1" customWidth="1"/>
    <col min="10" max="10" width="18.625" style="20" customWidth="1"/>
    <col min="11" max="11" width="15" style="20" customWidth="1"/>
    <col min="12" max="12" width="12.25" style="20" customWidth="1"/>
    <col min="13" max="13" width="18.25" style="20" hidden="1" customWidth="1"/>
    <col min="14" max="14" width="18.625" style="20" customWidth="1"/>
    <col min="15" max="15" width="15.5" style="20" hidden="1" customWidth="1"/>
    <col min="16" max="17" width="26.625" hidden="1" customWidth="1"/>
    <col min="18" max="18" width="22.125" style="20" hidden="1" customWidth="1"/>
    <col min="19" max="19" width="21.125" style="20" customWidth="1"/>
    <col min="20" max="20" width="18.125" style="20" customWidth="1"/>
    <col min="21" max="21" width="20" style="20" hidden="1" customWidth="1"/>
    <col min="22" max="22" width="87" style="20" hidden="1" customWidth="1"/>
  </cols>
  <sheetData>
    <row r="1" spans="1:22" ht="15.6">
      <c r="A1" s="456" t="s">
        <v>173</v>
      </c>
      <c r="B1" s="456"/>
      <c r="C1" s="456"/>
      <c r="E1" s="74" t="s">
        <v>174</v>
      </c>
      <c r="F1" s="75"/>
      <c r="G1" s="75"/>
      <c r="H1" s="75"/>
      <c r="I1" s="75"/>
      <c r="J1" s="80"/>
      <c r="K1" s="80"/>
      <c r="L1" s="80"/>
      <c r="M1" s="80"/>
      <c r="N1" s="80"/>
      <c r="O1" s="80"/>
      <c r="P1" s="81"/>
      <c r="Q1" s="81"/>
      <c r="R1" s="80"/>
    </row>
    <row r="2" spans="1:22" ht="15.6">
      <c r="A2" s="457" t="s">
        <v>175</v>
      </c>
      <c r="B2" s="457"/>
      <c r="C2" s="457"/>
      <c r="E2" s="94" t="s">
        <v>176</v>
      </c>
      <c r="F2" s="77" t="str">
        <f>"'-' Not applicable"</f>
        <v>'-' Not applicable</v>
      </c>
    </row>
    <row r="3" spans="1:22" ht="15.95" thickBot="1">
      <c r="A3" s="456" t="s">
        <v>177</v>
      </c>
      <c r="B3" s="456"/>
      <c r="C3" s="456"/>
      <c r="E3" s="72"/>
      <c r="F3" s="73"/>
      <c r="G3" s="78"/>
      <c r="H3" s="73"/>
      <c r="I3" s="73"/>
      <c r="J3" s="79"/>
      <c r="K3" s="79"/>
      <c r="L3" s="79"/>
      <c r="M3" s="79"/>
      <c r="N3" s="79"/>
      <c r="O3" s="79"/>
      <c r="P3" s="78"/>
      <c r="Q3" s="78"/>
      <c r="R3" s="79"/>
      <c r="S3" s="79"/>
      <c r="T3" s="79"/>
    </row>
    <row r="4" spans="1:22" ht="15.6">
      <c r="A4" s="445" t="s">
        <v>178</v>
      </c>
      <c r="B4" s="445"/>
      <c r="C4" s="445"/>
      <c r="E4" s="76" t="s">
        <v>179</v>
      </c>
      <c r="F4" s="456" t="s">
        <v>9</v>
      </c>
      <c r="G4" s="456"/>
      <c r="H4" s="456"/>
      <c r="I4" s="456"/>
      <c r="J4" s="456"/>
      <c r="K4" s="458"/>
      <c r="L4" s="458"/>
      <c r="M4" s="458"/>
      <c r="N4" s="456"/>
      <c r="O4" s="458"/>
      <c r="P4" s="456"/>
      <c r="Q4" s="456"/>
      <c r="R4" s="458"/>
      <c r="S4" s="458"/>
      <c r="T4" s="458"/>
    </row>
    <row r="5" spans="1:22" ht="15.6">
      <c r="A5" s="455" t="s">
        <v>180</v>
      </c>
      <c r="B5" s="455"/>
      <c r="C5" s="455"/>
      <c r="E5" s="387" t="s">
        <v>10</v>
      </c>
      <c r="F5" s="445" t="s">
        <v>181</v>
      </c>
      <c r="G5" s="445"/>
      <c r="H5" s="445"/>
      <c r="I5" s="445"/>
      <c r="J5" s="445"/>
      <c r="K5" s="445"/>
      <c r="L5" s="445"/>
      <c r="M5" s="445"/>
      <c r="N5" s="445"/>
      <c r="O5" s="445"/>
      <c r="P5" s="445"/>
      <c r="Q5" s="445"/>
      <c r="R5" s="445"/>
      <c r="S5" s="445"/>
      <c r="T5" s="445"/>
    </row>
    <row r="6" spans="1:22" ht="15.6">
      <c r="A6" s="444" t="s">
        <v>182</v>
      </c>
      <c r="B6" s="445"/>
      <c r="C6" s="445"/>
      <c r="E6" s="388" t="s">
        <v>37</v>
      </c>
      <c r="F6" s="445" t="s">
        <v>183</v>
      </c>
      <c r="G6" s="445"/>
      <c r="H6" s="445"/>
      <c r="I6" s="445"/>
      <c r="J6" s="445"/>
      <c r="K6" s="446"/>
      <c r="L6" s="446"/>
      <c r="M6" s="446"/>
      <c r="N6" s="445"/>
      <c r="O6" s="446"/>
      <c r="P6" s="445"/>
      <c r="Q6" s="445"/>
      <c r="R6" s="446"/>
      <c r="S6" s="446"/>
      <c r="T6" s="446"/>
    </row>
    <row r="7" spans="1:22" ht="15.6">
      <c r="A7" s="444" t="s">
        <v>184</v>
      </c>
      <c r="B7" s="445"/>
      <c r="C7" s="445"/>
      <c r="E7" s="389" t="s">
        <v>40</v>
      </c>
      <c r="F7" s="445" t="s">
        <v>185</v>
      </c>
      <c r="G7" s="445"/>
      <c r="H7" s="445"/>
      <c r="I7" s="445"/>
      <c r="J7" s="445"/>
      <c r="K7" s="446"/>
      <c r="L7" s="446"/>
      <c r="M7" s="446"/>
      <c r="N7" s="445"/>
      <c r="O7" s="446"/>
      <c r="P7" s="445"/>
      <c r="Q7" s="445"/>
      <c r="R7" s="446"/>
      <c r="S7" s="446"/>
      <c r="T7" s="446"/>
    </row>
    <row r="8" spans="1:22" ht="38.25" customHeight="1">
      <c r="A8" s="447" t="s">
        <v>186</v>
      </c>
      <c r="B8" s="447"/>
      <c r="C8" s="447"/>
      <c r="E8" s="4" t="s">
        <v>187</v>
      </c>
      <c r="F8" s="448" t="s">
        <v>188</v>
      </c>
      <c r="G8" s="448"/>
      <c r="H8" s="448"/>
      <c r="I8" s="448"/>
      <c r="J8" s="448"/>
      <c r="K8" s="449"/>
      <c r="L8" s="449"/>
      <c r="M8" s="449"/>
      <c r="N8" s="448"/>
      <c r="O8" s="449"/>
      <c r="P8" s="448"/>
      <c r="Q8" s="448"/>
      <c r="R8" s="449"/>
      <c r="S8" s="449"/>
      <c r="T8" s="449"/>
    </row>
    <row r="9" spans="1:22" ht="15.75" customHeight="1" thickBot="1"/>
    <row r="10" spans="1:22" ht="15.95" customHeight="1">
      <c r="A10" s="450" t="s">
        <v>189</v>
      </c>
      <c r="B10" s="451"/>
      <c r="C10" s="451"/>
      <c r="D10" s="452" t="s">
        <v>28</v>
      </c>
      <c r="E10" s="452"/>
      <c r="F10" s="452"/>
      <c r="G10" s="452"/>
      <c r="H10" s="452"/>
      <c r="I10" s="452"/>
      <c r="J10" s="452"/>
      <c r="K10" s="452" t="s">
        <v>190</v>
      </c>
      <c r="L10" s="452"/>
      <c r="M10" s="452"/>
      <c r="N10" s="453"/>
      <c r="O10" s="452"/>
      <c r="P10" s="453" t="s">
        <v>191</v>
      </c>
      <c r="Q10" s="453"/>
      <c r="R10" s="452" t="s">
        <v>192</v>
      </c>
      <c r="S10" s="452"/>
      <c r="T10" s="452"/>
      <c r="U10" s="454"/>
      <c r="V10" s="442" t="s">
        <v>193</v>
      </c>
    </row>
    <row r="11" spans="1:22" ht="15.6">
      <c r="A11" s="355" t="s">
        <v>8</v>
      </c>
      <c r="B11" s="337" t="s">
        <v>194</v>
      </c>
      <c r="C11" s="337" t="s">
        <v>9</v>
      </c>
      <c r="D11" s="324" t="s">
        <v>195</v>
      </c>
      <c r="E11" s="338" t="s">
        <v>9</v>
      </c>
      <c r="F11" s="338" t="s">
        <v>29</v>
      </c>
      <c r="G11" s="324" t="s">
        <v>30</v>
      </c>
      <c r="H11" s="338" t="s">
        <v>196</v>
      </c>
      <c r="I11" s="338" t="s">
        <v>197</v>
      </c>
      <c r="J11" s="338" t="s">
        <v>198</v>
      </c>
      <c r="K11" s="324" t="s">
        <v>199</v>
      </c>
      <c r="L11" s="324" t="s">
        <v>200</v>
      </c>
      <c r="M11" s="324" t="s">
        <v>201</v>
      </c>
      <c r="N11" s="324" t="s">
        <v>202</v>
      </c>
      <c r="O11" s="324" t="s">
        <v>203</v>
      </c>
      <c r="P11" s="325" t="s">
        <v>204</v>
      </c>
      <c r="Q11" s="325" t="s">
        <v>190</v>
      </c>
      <c r="R11" s="324" t="s">
        <v>199</v>
      </c>
      <c r="S11" s="324" t="s">
        <v>205</v>
      </c>
      <c r="T11" s="324" t="s">
        <v>206</v>
      </c>
      <c r="U11" s="356" t="s">
        <v>203</v>
      </c>
      <c r="V11" s="443"/>
    </row>
    <row r="12" spans="1:22" ht="34.5" hidden="1" customHeight="1">
      <c r="A12" s="390" t="s">
        <v>10</v>
      </c>
      <c r="B12" s="391">
        <v>1</v>
      </c>
      <c r="C12" s="392" t="str">
        <f>'Log frame'!B13</f>
        <v>Increased access to safe, sustainable and affordable water, sanitation and hygiene (WASH) services in Haiti​.</v>
      </c>
      <c r="D12" s="392" t="s">
        <v>36</v>
      </c>
      <c r="E12" s="392" t="s">
        <v>36</v>
      </c>
      <c r="F12" s="392" t="s">
        <v>36</v>
      </c>
      <c r="G12" s="392" t="s">
        <v>36</v>
      </c>
      <c r="H12" s="326" t="s">
        <v>36</v>
      </c>
      <c r="I12" s="326" t="str">
        <f>"Mattson"</f>
        <v>Mattson</v>
      </c>
      <c r="J12" s="392" t="s">
        <v>36</v>
      </c>
      <c r="K12" s="392" t="s">
        <v>36</v>
      </c>
      <c r="L12" s="392" t="s">
        <v>36</v>
      </c>
      <c r="M12" s="326"/>
      <c r="N12" s="392" t="s">
        <v>36</v>
      </c>
      <c r="O12" s="326" t="s">
        <v>36</v>
      </c>
      <c r="P12" s="326" t="s">
        <v>36</v>
      </c>
      <c r="Q12" s="326" t="s">
        <v>36</v>
      </c>
      <c r="R12" s="326" t="s">
        <v>36</v>
      </c>
      <c r="S12" s="392" t="s">
        <v>36</v>
      </c>
      <c r="T12" s="392" t="s">
        <v>36</v>
      </c>
      <c r="U12" s="358" t="s">
        <v>36</v>
      </c>
      <c r="V12" s="136" t="s">
        <v>207</v>
      </c>
    </row>
    <row r="13" spans="1:22" ht="34.5" hidden="1" customHeight="1">
      <c r="A13" s="393" t="s">
        <v>37</v>
      </c>
      <c r="B13" s="394">
        <v>1000</v>
      </c>
      <c r="C13" s="395" t="str">
        <f>'Log frame'!B15</f>
        <v>Strengthened demand for and management of WASH services in communes.</v>
      </c>
      <c r="D13" s="395" t="s">
        <v>36</v>
      </c>
      <c r="E13" s="395" t="s">
        <v>36</v>
      </c>
      <c r="F13" s="395" t="s">
        <v>36</v>
      </c>
      <c r="G13" s="395" t="s">
        <v>36</v>
      </c>
      <c r="H13" s="326" t="s">
        <v>36</v>
      </c>
      <c r="I13" s="326" t="str">
        <f t="shared" ref="I13:I57" si="0">"Mattson"</f>
        <v>Mattson</v>
      </c>
      <c r="J13" s="395" t="s">
        <v>36</v>
      </c>
      <c r="K13" s="395" t="s">
        <v>36</v>
      </c>
      <c r="L13" s="395" t="s">
        <v>36</v>
      </c>
      <c r="M13" s="326"/>
      <c r="N13" s="395" t="s">
        <v>36</v>
      </c>
      <c r="O13" s="326" t="s">
        <v>36</v>
      </c>
      <c r="P13" s="326" t="s">
        <v>36</v>
      </c>
      <c r="Q13" s="326" t="s">
        <v>36</v>
      </c>
      <c r="R13" s="326" t="s">
        <v>36</v>
      </c>
      <c r="S13" s="395" t="s">
        <v>36</v>
      </c>
      <c r="T13" s="395" t="s">
        <v>36</v>
      </c>
      <c r="U13" s="358" t="s">
        <v>36</v>
      </c>
      <c r="V13" s="136" t="s">
        <v>207</v>
      </c>
    </row>
    <row r="14" spans="1:22" ht="34.5" customHeight="1">
      <c r="A14" s="399" t="s">
        <v>40</v>
      </c>
      <c r="B14" s="400">
        <v>1100</v>
      </c>
      <c r="C14" s="401" t="str">
        <f>'Log frame'!B17</f>
        <v>Increased civil society engagement in decision making and implementation of WASH services.</v>
      </c>
      <c r="D14" s="402" t="s">
        <v>39</v>
      </c>
      <c r="E14" s="401" t="s">
        <v>208</v>
      </c>
      <c r="F14" s="401" t="s">
        <v>42</v>
      </c>
      <c r="G14" s="401" t="s">
        <v>43</v>
      </c>
      <c r="H14" s="326" t="s">
        <v>209</v>
      </c>
      <c r="I14" s="326" t="str">
        <f t="shared" si="0"/>
        <v>Mattson</v>
      </c>
      <c r="J14" s="401" t="s">
        <v>210</v>
      </c>
      <c r="K14" s="403" t="s">
        <v>211</v>
      </c>
      <c r="L14" s="404" t="s">
        <v>212</v>
      </c>
      <c r="M14" s="341" t="s">
        <v>213</v>
      </c>
      <c r="N14" s="405" t="s">
        <v>214</v>
      </c>
      <c r="O14" s="333" t="s">
        <v>215</v>
      </c>
      <c r="P14" s="294"/>
      <c r="Q14" s="294"/>
      <c r="R14" s="341" t="s">
        <v>216</v>
      </c>
      <c r="S14" s="404" t="s">
        <v>217</v>
      </c>
      <c r="T14" s="404" t="s">
        <v>218</v>
      </c>
      <c r="U14" s="359" t="s">
        <v>215</v>
      </c>
      <c r="V14" s="334" t="s">
        <v>219</v>
      </c>
    </row>
    <row r="15" spans="1:22" ht="34.5" customHeight="1">
      <c r="A15" s="399" t="s">
        <v>40</v>
      </c>
      <c r="B15" s="400">
        <v>1100</v>
      </c>
      <c r="C15" s="401" t="s">
        <v>41</v>
      </c>
      <c r="D15" s="402" t="s">
        <v>44</v>
      </c>
      <c r="E15" s="401" t="s">
        <v>220</v>
      </c>
      <c r="F15" s="401" t="s">
        <v>45</v>
      </c>
      <c r="G15" s="401" t="s">
        <v>46</v>
      </c>
      <c r="H15" s="326" t="s">
        <v>221</v>
      </c>
      <c r="I15" s="326" t="s">
        <v>222</v>
      </c>
      <c r="J15" s="401" t="s">
        <v>210</v>
      </c>
      <c r="K15" s="403" t="s">
        <v>211</v>
      </c>
      <c r="L15" s="404" t="s">
        <v>212</v>
      </c>
      <c r="M15" s="341" t="s">
        <v>213</v>
      </c>
      <c r="N15" s="405" t="s">
        <v>214</v>
      </c>
      <c r="O15" s="333" t="s">
        <v>215</v>
      </c>
      <c r="P15" s="341" t="s">
        <v>223</v>
      </c>
      <c r="Q15" s="341" t="s">
        <v>217</v>
      </c>
      <c r="R15" s="341" t="s">
        <v>224</v>
      </c>
      <c r="S15" s="404" t="s">
        <v>217</v>
      </c>
      <c r="T15" s="404" t="s">
        <v>218</v>
      </c>
      <c r="U15" s="360" t="s">
        <v>215</v>
      </c>
      <c r="V15" s="335"/>
    </row>
    <row r="16" spans="1:22" ht="48.6" customHeight="1">
      <c r="A16" s="357" t="s">
        <v>16</v>
      </c>
      <c r="B16" s="339">
        <v>1110</v>
      </c>
      <c r="C16" s="342" t="s">
        <v>48</v>
      </c>
      <c r="D16" s="340" t="s">
        <v>47</v>
      </c>
      <c r="E16" s="326" t="s">
        <v>225</v>
      </c>
      <c r="F16" s="326" t="s">
        <v>49</v>
      </c>
      <c r="G16" s="330" t="s">
        <v>50</v>
      </c>
      <c r="H16" s="326" t="s">
        <v>209</v>
      </c>
      <c r="I16" s="326" t="str">
        <f t="shared" si="0"/>
        <v>Mattson</v>
      </c>
      <c r="J16" s="326" t="s">
        <v>210</v>
      </c>
      <c r="K16" s="333" t="s">
        <v>211</v>
      </c>
      <c r="L16" s="343" t="s">
        <v>212</v>
      </c>
      <c r="M16" s="343" t="s">
        <v>213</v>
      </c>
      <c r="N16" s="330" t="s">
        <v>214</v>
      </c>
      <c r="O16" s="333" t="s">
        <v>215</v>
      </c>
      <c r="P16" s="294"/>
      <c r="Q16" s="294"/>
      <c r="R16" s="329" t="s">
        <v>223</v>
      </c>
      <c r="S16" s="341" t="s">
        <v>217</v>
      </c>
      <c r="T16" s="341" t="s">
        <v>218</v>
      </c>
      <c r="U16" s="359" t="s">
        <v>215</v>
      </c>
      <c r="V16" s="336" t="s">
        <v>219</v>
      </c>
    </row>
    <row r="17" spans="1:22" ht="34.5" hidden="1" customHeight="1">
      <c r="A17" s="399" t="s">
        <v>40</v>
      </c>
      <c r="B17" s="401">
        <v>1200</v>
      </c>
      <c r="C17" s="402" t="str">
        <f>'Log frame'!C17</f>
        <v>Improved commune WASH planning and coordination by local authorities.​</v>
      </c>
      <c r="D17" s="402" t="s">
        <v>51</v>
      </c>
      <c r="E17" s="401" t="s">
        <v>226</v>
      </c>
      <c r="F17" s="401" t="s">
        <v>53</v>
      </c>
      <c r="G17" s="401" t="s">
        <v>54</v>
      </c>
      <c r="H17" s="339" t="s">
        <v>227</v>
      </c>
      <c r="I17" s="339" t="str">
        <f t="shared" si="0"/>
        <v>Mattson</v>
      </c>
      <c r="J17" s="401" t="s">
        <v>228</v>
      </c>
      <c r="K17" s="403" t="s">
        <v>229</v>
      </c>
      <c r="L17" s="405" t="s">
        <v>230</v>
      </c>
      <c r="M17" s="330" t="s">
        <v>213</v>
      </c>
      <c r="N17" s="401" t="s">
        <v>218</v>
      </c>
      <c r="O17" s="333" t="s">
        <v>231</v>
      </c>
      <c r="P17" s="344" t="s">
        <v>232</v>
      </c>
      <c r="Q17" s="294" t="s">
        <v>233</v>
      </c>
      <c r="R17" s="294" t="s">
        <v>223</v>
      </c>
      <c r="S17" s="404" t="s">
        <v>217</v>
      </c>
      <c r="T17" s="404" t="s">
        <v>218</v>
      </c>
      <c r="U17" s="359" t="s">
        <v>231</v>
      </c>
      <c r="V17" s="320" t="s">
        <v>234</v>
      </c>
    </row>
    <row r="18" spans="1:22" ht="34.5" hidden="1" customHeight="1">
      <c r="A18" s="357" t="s">
        <v>16</v>
      </c>
      <c r="B18" s="339">
        <v>1210</v>
      </c>
      <c r="C18" s="345" t="str">
        <f>'Log frame'!C19</f>
        <v>Create or improve commune action plans that focus on water, sanitation and hygiene, and water resource management.​</v>
      </c>
      <c r="D18" s="340" t="s">
        <v>55</v>
      </c>
      <c r="E18" s="346" t="s">
        <v>235</v>
      </c>
      <c r="F18" s="326" t="s">
        <v>57</v>
      </c>
      <c r="G18" s="330" t="s">
        <v>58</v>
      </c>
      <c r="H18" s="339" t="s">
        <v>227</v>
      </c>
      <c r="I18" s="339" t="str">
        <f t="shared" si="0"/>
        <v>Mattson</v>
      </c>
      <c r="J18" s="326" t="s">
        <v>228</v>
      </c>
      <c r="K18" s="347" t="s">
        <v>229</v>
      </c>
      <c r="L18" s="330" t="s">
        <v>230</v>
      </c>
      <c r="M18" s="330" t="s">
        <v>213</v>
      </c>
      <c r="N18" s="326" t="s">
        <v>236</v>
      </c>
      <c r="O18" s="333" t="s">
        <v>231</v>
      </c>
      <c r="P18" s="294"/>
      <c r="Q18" s="294"/>
      <c r="R18" s="329" t="s">
        <v>223</v>
      </c>
      <c r="S18" s="341" t="s">
        <v>217</v>
      </c>
      <c r="T18" s="341" t="s">
        <v>236</v>
      </c>
      <c r="U18" s="359" t="s">
        <v>231</v>
      </c>
      <c r="V18" s="198" t="s">
        <v>237</v>
      </c>
    </row>
    <row r="19" spans="1:22" ht="34.5" hidden="1" customHeight="1">
      <c r="A19" s="357" t="s">
        <v>16</v>
      </c>
      <c r="B19" s="339">
        <v>1220</v>
      </c>
      <c r="C19" s="326" t="str">
        <f>'Log frame'!C21</f>
        <v>Facilitate coordination meetings between commune WASH stakeholders.</v>
      </c>
      <c r="D19" s="340" t="s">
        <v>59</v>
      </c>
      <c r="E19" s="326" t="s">
        <v>238</v>
      </c>
      <c r="F19" s="326" t="s">
        <v>61</v>
      </c>
      <c r="G19" s="330" t="s">
        <v>62</v>
      </c>
      <c r="H19" s="348" t="s">
        <v>209</v>
      </c>
      <c r="I19" s="348" t="str">
        <f t="shared" si="0"/>
        <v>Mattson</v>
      </c>
      <c r="J19" s="326" t="s">
        <v>210</v>
      </c>
      <c r="K19" s="333" t="s">
        <v>211</v>
      </c>
      <c r="L19" s="330" t="s">
        <v>239</v>
      </c>
      <c r="M19" s="330" t="s">
        <v>213</v>
      </c>
      <c r="N19" s="330" t="s">
        <v>214</v>
      </c>
      <c r="O19" s="333" t="s">
        <v>215</v>
      </c>
      <c r="P19" s="349"/>
      <c r="Q19" s="349"/>
      <c r="R19" s="329" t="s">
        <v>223</v>
      </c>
      <c r="S19" s="341" t="s">
        <v>217</v>
      </c>
      <c r="T19" s="341" t="s">
        <v>218</v>
      </c>
      <c r="U19" s="359" t="s">
        <v>215</v>
      </c>
      <c r="V19" s="198" t="s">
        <v>240</v>
      </c>
    </row>
    <row r="20" spans="1:22" ht="34.5" hidden="1" customHeight="1">
      <c r="A20" s="399" t="s">
        <v>40</v>
      </c>
      <c r="B20" s="405">
        <v>1300</v>
      </c>
      <c r="C20" s="405" t="str">
        <f>'Log frame'!D17</f>
        <v>Improved accountability of service providers to users of WASH services.​</v>
      </c>
      <c r="D20" s="402" t="s">
        <v>63</v>
      </c>
      <c r="E20" s="405" t="s">
        <v>241</v>
      </c>
      <c r="F20" s="401" t="s">
        <v>65</v>
      </c>
      <c r="G20" s="405" t="s">
        <v>66</v>
      </c>
      <c r="H20" s="330" t="s">
        <v>227</v>
      </c>
      <c r="I20" s="330" t="s">
        <v>222</v>
      </c>
      <c r="J20" s="405" t="s">
        <v>242</v>
      </c>
      <c r="K20" s="406" t="s">
        <v>243</v>
      </c>
      <c r="L20" s="405" t="s">
        <v>244</v>
      </c>
      <c r="M20" s="330" t="s">
        <v>213</v>
      </c>
      <c r="N20" s="407" t="s">
        <v>214</v>
      </c>
      <c r="O20" s="350" t="s">
        <v>215</v>
      </c>
      <c r="P20" s="330"/>
      <c r="Q20" s="330"/>
      <c r="R20" s="350" t="s">
        <v>245</v>
      </c>
      <c r="S20" s="405" t="s">
        <v>246</v>
      </c>
      <c r="T20" s="405" t="s">
        <v>218</v>
      </c>
      <c r="U20" s="361" t="s">
        <v>247</v>
      </c>
      <c r="V20" s="328" t="s">
        <v>248</v>
      </c>
    </row>
    <row r="21" spans="1:22" ht="34.5" hidden="1" customHeight="1">
      <c r="A21" s="399" t="s">
        <v>40</v>
      </c>
      <c r="B21" s="405">
        <v>1300</v>
      </c>
      <c r="C21" s="405" t="str">
        <f>'Log frame'!D17</f>
        <v>Improved accountability of service providers to users of WASH services.​</v>
      </c>
      <c r="D21" s="402" t="s">
        <v>67</v>
      </c>
      <c r="E21" s="405" t="s">
        <v>249</v>
      </c>
      <c r="F21" s="402" t="s">
        <v>68</v>
      </c>
      <c r="G21" s="405" t="s">
        <v>69</v>
      </c>
      <c r="H21" s="330" t="s">
        <v>227</v>
      </c>
      <c r="I21" s="330" t="str">
        <f t="shared" si="0"/>
        <v>Mattson</v>
      </c>
      <c r="J21" s="405" t="s">
        <v>250</v>
      </c>
      <c r="K21" s="406" t="s">
        <v>251</v>
      </c>
      <c r="L21" s="405" t="s">
        <v>252</v>
      </c>
      <c r="M21" s="330" t="s">
        <v>213</v>
      </c>
      <c r="N21" s="405" t="s">
        <v>236</v>
      </c>
      <c r="O21" s="350" t="s">
        <v>215</v>
      </c>
      <c r="P21" s="330" t="s">
        <v>253</v>
      </c>
      <c r="Q21" s="330"/>
      <c r="R21" s="350" t="s">
        <v>245</v>
      </c>
      <c r="S21" s="405" t="s">
        <v>246</v>
      </c>
      <c r="T21" s="405" t="s">
        <v>236</v>
      </c>
      <c r="U21" s="361" t="s">
        <v>247</v>
      </c>
      <c r="V21" s="332" t="s">
        <v>248</v>
      </c>
    </row>
    <row r="22" spans="1:22" ht="34.5" hidden="1" customHeight="1">
      <c r="A22" s="399" t="s">
        <v>40</v>
      </c>
      <c r="B22" s="405">
        <v>1300</v>
      </c>
      <c r="C22" s="405" t="s">
        <v>64</v>
      </c>
      <c r="D22" s="402" t="s">
        <v>70</v>
      </c>
      <c r="E22" s="405" t="s">
        <v>254</v>
      </c>
      <c r="F22" s="405" t="s">
        <v>71</v>
      </c>
      <c r="G22" s="405" t="s">
        <v>72</v>
      </c>
      <c r="H22" s="330" t="s">
        <v>221</v>
      </c>
      <c r="I22" s="330" t="s">
        <v>222</v>
      </c>
      <c r="J22" s="405" t="s">
        <v>255</v>
      </c>
      <c r="K22" s="406" t="s">
        <v>256</v>
      </c>
      <c r="L22" s="405" t="s">
        <v>257</v>
      </c>
      <c r="M22" s="330" t="s">
        <v>258</v>
      </c>
      <c r="N22" s="405" t="s">
        <v>236</v>
      </c>
      <c r="O22" s="350" t="s">
        <v>215</v>
      </c>
      <c r="P22" s="350" t="s">
        <v>245</v>
      </c>
      <c r="Q22" s="330" t="s">
        <v>259</v>
      </c>
      <c r="R22" s="330" t="s">
        <v>260</v>
      </c>
      <c r="S22" s="405" t="s">
        <v>246</v>
      </c>
      <c r="T22" s="405" t="s">
        <v>236</v>
      </c>
      <c r="U22" s="360" t="s">
        <v>215</v>
      </c>
      <c r="V22" s="335"/>
    </row>
    <row r="23" spans="1:22" ht="34.5" hidden="1" customHeight="1">
      <c r="A23" s="357" t="s">
        <v>16</v>
      </c>
      <c r="B23" s="339">
        <v>1310</v>
      </c>
      <c r="C23" s="351" t="str">
        <f>'Log frame'!D19</f>
        <v>Monitor WASH service performance and satisfaction.</v>
      </c>
      <c r="D23" s="340" t="s">
        <v>73</v>
      </c>
      <c r="E23" s="326" t="s">
        <v>261</v>
      </c>
      <c r="F23" s="340" t="s">
        <v>75</v>
      </c>
      <c r="G23" s="352" t="s">
        <v>76</v>
      </c>
      <c r="H23" s="348" t="s">
        <v>221</v>
      </c>
      <c r="I23" s="348" t="str">
        <f t="shared" si="0"/>
        <v>Mattson</v>
      </c>
      <c r="J23" s="326" t="s">
        <v>262</v>
      </c>
      <c r="K23" s="333" t="s">
        <v>263</v>
      </c>
      <c r="L23" s="330" t="s">
        <v>264</v>
      </c>
      <c r="M23" s="330" t="s">
        <v>213</v>
      </c>
      <c r="N23" s="330" t="s">
        <v>214</v>
      </c>
      <c r="O23" s="333" t="s">
        <v>215</v>
      </c>
      <c r="P23" s="294"/>
      <c r="Q23" s="294"/>
      <c r="R23" s="329" t="s">
        <v>223</v>
      </c>
      <c r="S23" s="341" t="s">
        <v>246</v>
      </c>
      <c r="T23" s="341" t="s">
        <v>218</v>
      </c>
      <c r="U23" s="359" t="s">
        <v>215</v>
      </c>
      <c r="V23" s="327" t="s">
        <v>240</v>
      </c>
    </row>
    <row r="24" spans="1:22" ht="34.5" hidden="1" customHeight="1">
      <c r="A24" s="357" t="s">
        <v>16</v>
      </c>
      <c r="B24" s="339">
        <v>1310</v>
      </c>
      <c r="C24" s="351" t="str">
        <f>C23</f>
        <v>Monitor WASH service performance and satisfaction.</v>
      </c>
      <c r="D24" s="340" t="s">
        <v>77</v>
      </c>
      <c r="E24" s="326" t="s">
        <v>265</v>
      </c>
      <c r="F24" s="340" t="s">
        <v>78</v>
      </c>
      <c r="G24" s="352" t="s">
        <v>76</v>
      </c>
      <c r="H24" s="348" t="s">
        <v>221</v>
      </c>
      <c r="I24" s="348" t="str">
        <f t="shared" si="0"/>
        <v>Mattson</v>
      </c>
      <c r="J24" s="326" t="s">
        <v>262</v>
      </c>
      <c r="K24" s="333" t="s">
        <v>263</v>
      </c>
      <c r="L24" s="330" t="s">
        <v>264</v>
      </c>
      <c r="M24" s="330" t="s">
        <v>213</v>
      </c>
      <c r="N24" s="330" t="s">
        <v>214</v>
      </c>
      <c r="O24" s="333" t="s">
        <v>215</v>
      </c>
      <c r="P24" s="294"/>
      <c r="Q24" s="294"/>
      <c r="R24" s="329" t="s">
        <v>223</v>
      </c>
      <c r="S24" s="341" t="s">
        <v>246</v>
      </c>
      <c r="T24" s="341" t="s">
        <v>218</v>
      </c>
      <c r="U24" s="359" t="s">
        <v>215</v>
      </c>
      <c r="V24" s="327" t="s">
        <v>240</v>
      </c>
    </row>
    <row r="25" spans="1:22" ht="46.5" hidden="1">
      <c r="A25" s="357" t="s">
        <v>16</v>
      </c>
      <c r="B25" s="339">
        <v>1310</v>
      </c>
      <c r="C25" s="351" t="str">
        <f>C24</f>
        <v>Monitor WASH service performance and satisfaction.</v>
      </c>
      <c r="D25" s="340" t="s">
        <v>79</v>
      </c>
      <c r="E25" s="326" t="s">
        <v>266</v>
      </c>
      <c r="F25" s="340" t="s">
        <v>80</v>
      </c>
      <c r="G25" s="330" t="s">
        <v>81</v>
      </c>
      <c r="H25" s="348"/>
      <c r="I25" s="348"/>
      <c r="J25" s="326"/>
      <c r="K25" s="333" t="s">
        <v>267</v>
      </c>
      <c r="L25" s="330" t="s">
        <v>244</v>
      </c>
      <c r="M25" s="330"/>
      <c r="N25" s="330" t="s">
        <v>268</v>
      </c>
      <c r="O25" s="333"/>
      <c r="P25" s="294"/>
      <c r="Q25" s="294"/>
      <c r="R25" s="329" t="s">
        <v>269</v>
      </c>
      <c r="S25" s="341" t="s">
        <v>270</v>
      </c>
      <c r="T25" s="341" t="s">
        <v>218</v>
      </c>
      <c r="U25" s="359"/>
      <c r="V25" s="327"/>
    </row>
    <row r="26" spans="1:22" ht="62.1" hidden="1">
      <c r="A26" s="357" t="s">
        <v>16</v>
      </c>
      <c r="B26" s="339">
        <v>1310</v>
      </c>
      <c r="C26" s="351" t="str">
        <f>C25</f>
        <v>Monitor WASH service performance and satisfaction.</v>
      </c>
      <c r="D26" s="340" t="s">
        <v>82</v>
      </c>
      <c r="E26" s="326" t="s">
        <v>271</v>
      </c>
      <c r="F26" s="340" t="s">
        <v>83</v>
      </c>
      <c r="G26" s="330" t="s">
        <v>84</v>
      </c>
      <c r="H26" s="348"/>
      <c r="I26" s="348"/>
      <c r="J26" s="326" t="s">
        <v>272</v>
      </c>
      <c r="K26" s="333" t="s">
        <v>263</v>
      </c>
      <c r="L26" s="330" t="s">
        <v>257</v>
      </c>
      <c r="M26" s="330" t="s">
        <v>213</v>
      </c>
      <c r="N26" s="330" t="s">
        <v>214</v>
      </c>
      <c r="O26" s="333"/>
      <c r="P26" s="294"/>
      <c r="Q26" s="294"/>
      <c r="R26" s="329"/>
      <c r="S26" s="341" t="s">
        <v>246</v>
      </c>
      <c r="T26" s="341" t="s">
        <v>218</v>
      </c>
      <c r="U26" s="359"/>
      <c r="V26" s="327"/>
    </row>
    <row r="27" spans="1:22" ht="99" hidden="1" customHeight="1">
      <c r="A27" s="357" t="s">
        <v>16</v>
      </c>
      <c r="B27" s="339">
        <v>1320</v>
      </c>
      <c r="C27" s="351" t="str">
        <f>'Log frame'!D21</f>
        <v>Review service provider performance with stakeholders.</v>
      </c>
      <c r="D27" s="340" t="s">
        <v>85</v>
      </c>
      <c r="E27" s="326" t="s">
        <v>273</v>
      </c>
      <c r="F27" s="340" t="s">
        <v>87</v>
      </c>
      <c r="G27" s="352" t="s">
        <v>58</v>
      </c>
      <c r="H27" s="326" t="s">
        <v>227</v>
      </c>
      <c r="I27" s="326" t="str">
        <f t="shared" si="0"/>
        <v>Mattson</v>
      </c>
      <c r="J27" s="326" t="s">
        <v>262</v>
      </c>
      <c r="K27" s="349" t="s">
        <v>274</v>
      </c>
      <c r="L27" s="330" t="s">
        <v>275</v>
      </c>
      <c r="M27" s="352" t="s">
        <v>213</v>
      </c>
      <c r="N27" s="330" t="s">
        <v>236</v>
      </c>
      <c r="O27" s="333" t="s">
        <v>215</v>
      </c>
      <c r="P27" s="294"/>
      <c r="Q27" s="294"/>
      <c r="R27" s="294" t="s">
        <v>36</v>
      </c>
      <c r="S27" s="341" t="s">
        <v>246</v>
      </c>
      <c r="T27" s="294" t="s">
        <v>236</v>
      </c>
      <c r="U27" s="359" t="s">
        <v>215</v>
      </c>
      <c r="V27" s="198" t="s">
        <v>240</v>
      </c>
    </row>
    <row r="28" spans="1:22" ht="34.5" hidden="1" customHeight="1">
      <c r="A28" s="393" t="s">
        <v>37</v>
      </c>
      <c r="B28" s="394">
        <v>2000</v>
      </c>
      <c r="C28" s="396" t="str">
        <f>'Log frame'!E15</f>
        <v>Enhanced household access to and use of sustainable, affordable, and safe water, sanitation and hygiene services.​</v>
      </c>
      <c r="D28" s="397" t="s">
        <v>36</v>
      </c>
      <c r="E28" s="395" t="s">
        <v>36</v>
      </c>
      <c r="F28" s="395" t="s">
        <v>36</v>
      </c>
      <c r="G28" s="395" t="s">
        <v>36</v>
      </c>
      <c r="H28" s="326" t="s">
        <v>36</v>
      </c>
      <c r="I28" s="326" t="str">
        <f t="shared" si="0"/>
        <v>Mattson</v>
      </c>
      <c r="J28" s="395" t="s">
        <v>36</v>
      </c>
      <c r="K28" s="395" t="s">
        <v>36</v>
      </c>
      <c r="L28" s="395" t="s">
        <v>36</v>
      </c>
      <c r="M28" s="326"/>
      <c r="N28" s="395" t="s">
        <v>36</v>
      </c>
      <c r="O28" s="326" t="s">
        <v>36</v>
      </c>
      <c r="P28" s="326" t="s">
        <v>36</v>
      </c>
      <c r="Q28" s="326" t="s">
        <v>36</v>
      </c>
      <c r="R28" s="326" t="s">
        <v>36</v>
      </c>
      <c r="S28" s="395" t="s">
        <v>36</v>
      </c>
      <c r="T28" s="395" t="s">
        <v>36</v>
      </c>
      <c r="U28" s="358" t="s">
        <v>36</v>
      </c>
      <c r="V28" s="136" t="s">
        <v>207</v>
      </c>
    </row>
    <row r="29" spans="1:22" ht="34.5" hidden="1" customHeight="1">
      <c r="A29" s="399" t="s">
        <v>40</v>
      </c>
      <c r="B29" s="401">
        <v>2100</v>
      </c>
      <c r="C29" s="408" t="str">
        <f>'Log frame'!E17</f>
        <v>Increased household access to sustainable, affordable, and safe drinking water services.​</v>
      </c>
      <c r="D29" s="402" t="s">
        <v>89</v>
      </c>
      <c r="E29" s="401" t="s">
        <v>276</v>
      </c>
      <c r="F29" s="402" t="s">
        <v>91</v>
      </c>
      <c r="G29" s="409" t="s">
        <v>92</v>
      </c>
      <c r="H29" s="348" t="s">
        <v>209</v>
      </c>
      <c r="I29" s="348" t="str">
        <f t="shared" si="0"/>
        <v>Mattson</v>
      </c>
      <c r="J29" s="401" t="s">
        <v>277</v>
      </c>
      <c r="K29" s="410" t="s">
        <v>278</v>
      </c>
      <c r="L29" s="405" t="s">
        <v>279</v>
      </c>
      <c r="M29" s="330" t="s">
        <v>258</v>
      </c>
      <c r="N29" s="405" t="s">
        <v>236</v>
      </c>
      <c r="O29" s="333" t="s">
        <v>215</v>
      </c>
      <c r="P29" s="294"/>
      <c r="Q29" s="294"/>
      <c r="R29" s="331" t="s">
        <v>280</v>
      </c>
      <c r="S29" s="404" t="s">
        <v>246</v>
      </c>
      <c r="T29" s="404" t="s">
        <v>236</v>
      </c>
      <c r="U29" s="362" t="s">
        <v>247</v>
      </c>
      <c r="V29" s="198" t="s">
        <v>281</v>
      </c>
    </row>
    <row r="30" spans="1:22" ht="34.5" hidden="1" customHeight="1">
      <c r="A30" s="399" t="s">
        <v>40</v>
      </c>
      <c r="B30" s="401">
        <v>2100</v>
      </c>
      <c r="C30" s="408" t="str">
        <f>'Log frame'!E17</f>
        <v>Increased household access to sustainable, affordable, and safe drinking water services.​</v>
      </c>
      <c r="D30" s="402" t="s">
        <v>93</v>
      </c>
      <c r="E30" s="401" t="s">
        <v>282</v>
      </c>
      <c r="F30" s="402" t="s">
        <v>94</v>
      </c>
      <c r="G30" s="409" t="s">
        <v>92</v>
      </c>
      <c r="H30" s="348" t="s">
        <v>209</v>
      </c>
      <c r="I30" s="348" t="str">
        <f t="shared" si="0"/>
        <v>Mattson</v>
      </c>
      <c r="J30" s="401" t="s">
        <v>283</v>
      </c>
      <c r="K30" s="410" t="s">
        <v>278</v>
      </c>
      <c r="L30" s="405" t="s">
        <v>279</v>
      </c>
      <c r="M30" s="330" t="s">
        <v>258</v>
      </c>
      <c r="N30" s="405" t="s">
        <v>236</v>
      </c>
      <c r="O30" s="333" t="s">
        <v>215</v>
      </c>
      <c r="P30" s="294"/>
      <c r="Q30" s="294"/>
      <c r="R30" s="331" t="s">
        <v>280</v>
      </c>
      <c r="S30" s="404" t="s">
        <v>246</v>
      </c>
      <c r="T30" s="404" t="s">
        <v>236</v>
      </c>
      <c r="U30" s="362" t="s">
        <v>247</v>
      </c>
      <c r="V30" s="198" t="s">
        <v>281</v>
      </c>
    </row>
    <row r="31" spans="1:22" ht="34.5" hidden="1" customHeight="1">
      <c r="A31" s="399" t="s">
        <v>40</v>
      </c>
      <c r="B31" s="401">
        <v>2100</v>
      </c>
      <c r="C31" s="408" t="str">
        <f>'Log frame'!E17</f>
        <v>Increased household access to sustainable, affordable, and safe drinking water services.​</v>
      </c>
      <c r="D31" s="402" t="s">
        <v>95</v>
      </c>
      <c r="E31" s="402" t="s">
        <v>284</v>
      </c>
      <c r="F31" s="402" t="s">
        <v>96</v>
      </c>
      <c r="G31" s="401" t="s">
        <v>69</v>
      </c>
      <c r="H31" s="348" t="s">
        <v>227</v>
      </c>
      <c r="I31" s="348" t="str">
        <f t="shared" si="0"/>
        <v>Mattson</v>
      </c>
      <c r="J31" s="407" t="s">
        <v>228</v>
      </c>
      <c r="K31" s="403" t="s">
        <v>253</v>
      </c>
      <c r="L31" s="407" t="s">
        <v>279</v>
      </c>
      <c r="M31" s="348" t="s">
        <v>258</v>
      </c>
      <c r="N31" s="405" t="s">
        <v>218</v>
      </c>
      <c r="O31" s="333" t="s">
        <v>215</v>
      </c>
      <c r="P31" s="348"/>
      <c r="Q31" s="348"/>
      <c r="R31" s="350" t="s">
        <v>245</v>
      </c>
      <c r="S31" s="404" t="s">
        <v>246</v>
      </c>
      <c r="T31" s="404" t="s">
        <v>236</v>
      </c>
      <c r="U31" s="362" t="s">
        <v>247</v>
      </c>
      <c r="V31" s="328" t="s">
        <v>248</v>
      </c>
    </row>
    <row r="32" spans="1:22" ht="34.5" hidden="1" customHeight="1">
      <c r="A32" s="357" t="s">
        <v>16</v>
      </c>
      <c r="B32" s="326">
        <v>2110</v>
      </c>
      <c r="C32" s="345" t="str">
        <f>'Log frame'!E19</f>
        <v xml:space="preserve">Develop community managed water points. </v>
      </c>
      <c r="D32" s="340" t="s">
        <v>97</v>
      </c>
      <c r="E32" s="326" t="s">
        <v>285</v>
      </c>
      <c r="F32" s="340" t="s">
        <v>99</v>
      </c>
      <c r="G32" s="352" t="s">
        <v>100</v>
      </c>
      <c r="H32" s="348" t="s">
        <v>209</v>
      </c>
      <c r="I32" s="348" t="str">
        <f t="shared" si="0"/>
        <v>Mattson</v>
      </c>
      <c r="J32" s="353" t="s">
        <v>286</v>
      </c>
      <c r="K32" s="333" t="s">
        <v>253</v>
      </c>
      <c r="L32" s="330" t="s">
        <v>279</v>
      </c>
      <c r="M32" s="330" t="s">
        <v>258</v>
      </c>
      <c r="N32" s="330" t="s">
        <v>218</v>
      </c>
      <c r="O32" s="333" t="s">
        <v>215</v>
      </c>
      <c r="P32" s="294"/>
      <c r="Q32" s="294"/>
      <c r="R32" s="331" t="s">
        <v>280</v>
      </c>
      <c r="S32" s="341" t="s">
        <v>217</v>
      </c>
      <c r="T32" s="341" t="s">
        <v>218</v>
      </c>
      <c r="U32" s="362" t="s">
        <v>247</v>
      </c>
      <c r="V32" s="198" t="s">
        <v>281</v>
      </c>
    </row>
    <row r="33" spans="1:22" ht="34.5" hidden="1" customHeight="1">
      <c r="A33" s="357" t="s">
        <v>16</v>
      </c>
      <c r="B33" s="326">
        <v>2120</v>
      </c>
      <c r="C33" s="345" t="str">
        <f>'Log frame'!E21</f>
        <v>Rehabilitate and expand professionally operated piped water systems.</v>
      </c>
      <c r="D33" s="340" t="s">
        <v>101</v>
      </c>
      <c r="E33" s="326" t="s">
        <v>287</v>
      </c>
      <c r="F33" s="340" t="s">
        <v>103</v>
      </c>
      <c r="G33" s="352" t="s">
        <v>100</v>
      </c>
      <c r="H33" s="348" t="s">
        <v>209</v>
      </c>
      <c r="I33" s="348" t="str">
        <f t="shared" si="0"/>
        <v>Mattson</v>
      </c>
      <c r="J33" s="353" t="s">
        <v>288</v>
      </c>
      <c r="K33" s="333" t="s">
        <v>274</v>
      </c>
      <c r="L33" s="330" t="s">
        <v>279</v>
      </c>
      <c r="M33" s="330" t="s">
        <v>213</v>
      </c>
      <c r="N33" s="330" t="s">
        <v>218</v>
      </c>
      <c r="O33" s="333" t="s">
        <v>215</v>
      </c>
      <c r="P33" s="294"/>
      <c r="Q33" s="294"/>
      <c r="R33" s="331" t="s">
        <v>280</v>
      </c>
      <c r="S33" s="341" t="s">
        <v>217</v>
      </c>
      <c r="T33" s="341" t="s">
        <v>218</v>
      </c>
      <c r="U33" s="362" t="s">
        <v>247</v>
      </c>
      <c r="V33" s="198" t="s">
        <v>281</v>
      </c>
    </row>
    <row r="34" spans="1:22" ht="34.5" hidden="1" customHeight="1">
      <c r="A34" s="399" t="s">
        <v>40</v>
      </c>
      <c r="B34" s="401">
        <v>2200</v>
      </c>
      <c r="C34" s="408" t="str">
        <f>'Log frame'!F17</f>
        <v>Increased household access to sustainable, affordable, and safe sanitation services.​</v>
      </c>
      <c r="D34" s="402" t="s">
        <v>104</v>
      </c>
      <c r="E34" s="401" t="s">
        <v>289</v>
      </c>
      <c r="F34" s="411" t="s">
        <v>106</v>
      </c>
      <c r="G34" s="401" t="s">
        <v>107</v>
      </c>
      <c r="H34" s="348" t="s">
        <v>209</v>
      </c>
      <c r="I34" s="348" t="str">
        <f t="shared" si="0"/>
        <v>Mattson</v>
      </c>
      <c r="J34" s="401" t="s">
        <v>228</v>
      </c>
      <c r="K34" s="403" t="s">
        <v>290</v>
      </c>
      <c r="L34" s="405" t="s">
        <v>233</v>
      </c>
      <c r="M34" s="330" t="s">
        <v>258</v>
      </c>
      <c r="N34" s="405" t="s">
        <v>218</v>
      </c>
      <c r="O34" s="333" t="s">
        <v>215</v>
      </c>
      <c r="P34" s="294"/>
      <c r="Q34" s="294"/>
      <c r="R34" s="331" t="s">
        <v>280</v>
      </c>
      <c r="S34" s="404" t="s">
        <v>291</v>
      </c>
      <c r="T34" s="404" t="s">
        <v>218</v>
      </c>
      <c r="U34" s="362" t="s">
        <v>247</v>
      </c>
      <c r="V34" s="198" t="s">
        <v>281</v>
      </c>
    </row>
    <row r="35" spans="1:22" ht="34.5" hidden="1" customHeight="1">
      <c r="A35" s="399" t="s">
        <v>40</v>
      </c>
      <c r="B35" s="401">
        <v>2200</v>
      </c>
      <c r="C35" s="408" t="str">
        <f>C34</f>
        <v>Increased household access to sustainable, affordable, and safe sanitation services.​</v>
      </c>
      <c r="D35" s="402" t="s">
        <v>108</v>
      </c>
      <c r="E35" s="401" t="s">
        <v>292</v>
      </c>
      <c r="F35" s="402" t="s">
        <v>109</v>
      </c>
      <c r="G35" s="405" t="s">
        <v>107</v>
      </c>
      <c r="H35" s="348" t="s">
        <v>209</v>
      </c>
      <c r="I35" s="348" t="str">
        <f t="shared" si="0"/>
        <v>Mattson</v>
      </c>
      <c r="J35" s="402" t="s">
        <v>293</v>
      </c>
      <c r="K35" s="403" t="s">
        <v>290</v>
      </c>
      <c r="L35" s="405" t="s">
        <v>294</v>
      </c>
      <c r="M35" s="330" t="s">
        <v>258</v>
      </c>
      <c r="N35" s="405" t="s">
        <v>236</v>
      </c>
      <c r="O35" s="333" t="s">
        <v>215</v>
      </c>
      <c r="P35" s="294"/>
      <c r="Q35" s="294"/>
      <c r="R35" s="331" t="s">
        <v>280</v>
      </c>
      <c r="S35" s="404" t="s">
        <v>246</v>
      </c>
      <c r="T35" s="404" t="s">
        <v>236</v>
      </c>
      <c r="U35" s="362" t="s">
        <v>247</v>
      </c>
      <c r="V35" s="198" t="s">
        <v>281</v>
      </c>
    </row>
    <row r="36" spans="1:22" ht="34.5" hidden="1" customHeight="1">
      <c r="A36" s="399" t="s">
        <v>40</v>
      </c>
      <c r="B36" s="401">
        <v>2200</v>
      </c>
      <c r="C36" s="408" t="str">
        <f>'Log frame'!F17</f>
        <v>Increased household access to sustainable, affordable, and safe sanitation services.​</v>
      </c>
      <c r="D36" s="402" t="s">
        <v>110</v>
      </c>
      <c r="E36" s="401" t="s">
        <v>295</v>
      </c>
      <c r="F36" s="402" t="s">
        <v>111</v>
      </c>
      <c r="G36" s="405" t="s">
        <v>112</v>
      </c>
      <c r="H36" s="326" t="s">
        <v>296</v>
      </c>
      <c r="I36" s="326" t="str">
        <f t="shared" si="0"/>
        <v>Mattson</v>
      </c>
      <c r="J36" s="401" t="s">
        <v>297</v>
      </c>
      <c r="K36" s="410" t="s">
        <v>278</v>
      </c>
      <c r="L36" s="405" t="s">
        <v>279</v>
      </c>
      <c r="M36" s="330" t="s">
        <v>258</v>
      </c>
      <c r="N36" s="405" t="s">
        <v>298</v>
      </c>
      <c r="O36" s="333" t="s">
        <v>215</v>
      </c>
      <c r="P36" s="294"/>
      <c r="Q36" s="294"/>
      <c r="R36" s="331" t="s">
        <v>280</v>
      </c>
      <c r="S36" s="412" t="s">
        <v>299</v>
      </c>
      <c r="T36" s="404" t="s">
        <v>236</v>
      </c>
      <c r="U36" s="362" t="s">
        <v>247</v>
      </c>
      <c r="V36" s="198" t="s">
        <v>281</v>
      </c>
    </row>
    <row r="37" spans="1:22" ht="34.5" hidden="1" customHeight="1">
      <c r="A37" s="357" t="s">
        <v>16</v>
      </c>
      <c r="B37" s="339">
        <v>2210</v>
      </c>
      <c r="C37" s="345" t="str">
        <f>'Log frame'!F19</f>
        <v>Mobilize communities to achieve Open Defecation Free status</v>
      </c>
      <c r="D37" s="340" t="s">
        <v>113</v>
      </c>
      <c r="E37" s="342" t="s">
        <v>300</v>
      </c>
      <c r="F37" s="340" t="s">
        <v>115</v>
      </c>
      <c r="G37" s="352" t="s">
        <v>100</v>
      </c>
      <c r="H37" s="326" t="s">
        <v>296</v>
      </c>
      <c r="I37" s="326" t="str">
        <f t="shared" si="0"/>
        <v>Mattson</v>
      </c>
      <c r="J37" s="326" t="s">
        <v>297</v>
      </c>
      <c r="K37" s="331" t="s">
        <v>278</v>
      </c>
      <c r="L37" s="326" t="s">
        <v>279</v>
      </c>
      <c r="M37" s="326" t="s">
        <v>258</v>
      </c>
      <c r="N37" s="330" t="s">
        <v>214</v>
      </c>
      <c r="O37" s="333" t="s">
        <v>215</v>
      </c>
      <c r="P37" s="294"/>
      <c r="Q37" s="294"/>
      <c r="R37" s="331" t="s">
        <v>280</v>
      </c>
      <c r="S37" s="341" t="s">
        <v>217</v>
      </c>
      <c r="T37" s="341" t="s">
        <v>218</v>
      </c>
      <c r="U37" s="362" t="s">
        <v>247</v>
      </c>
      <c r="V37" s="198" t="s">
        <v>281</v>
      </c>
    </row>
    <row r="38" spans="1:22" ht="34.5" hidden="1" customHeight="1">
      <c r="A38" s="357" t="s">
        <v>16</v>
      </c>
      <c r="B38" s="339">
        <v>2230</v>
      </c>
      <c r="C38" s="345" t="str">
        <f>'Log frame'!F23</f>
        <v>Construct public latrines.</v>
      </c>
      <c r="D38" s="340" t="s">
        <v>116</v>
      </c>
      <c r="E38" s="326" t="s">
        <v>301</v>
      </c>
      <c r="F38" s="326" t="s">
        <v>118</v>
      </c>
      <c r="G38" s="352" t="s">
        <v>119</v>
      </c>
      <c r="H38" s="348" t="s">
        <v>209</v>
      </c>
      <c r="I38" s="348" t="s">
        <v>302</v>
      </c>
      <c r="J38" s="340" t="s">
        <v>293</v>
      </c>
      <c r="K38" s="331" t="s">
        <v>303</v>
      </c>
      <c r="L38" s="330" t="s">
        <v>279</v>
      </c>
      <c r="M38" s="330" t="s">
        <v>213</v>
      </c>
      <c r="N38" s="330" t="s">
        <v>218</v>
      </c>
      <c r="O38" s="333" t="s">
        <v>215</v>
      </c>
      <c r="P38" s="294"/>
      <c r="Q38" s="294"/>
      <c r="R38" s="331" t="s">
        <v>280</v>
      </c>
      <c r="S38" s="341" t="s">
        <v>246</v>
      </c>
      <c r="T38" s="341" t="s">
        <v>218</v>
      </c>
      <c r="U38" s="362" t="s">
        <v>247</v>
      </c>
      <c r="V38" s="198" t="s">
        <v>304</v>
      </c>
    </row>
    <row r="39" spans="1:22" ht="34.5" hidden="1" customHeight="1">
      <c r="A39" s="399" t="s">
        <v>40</v>
      </c>
      <c r="B39" s="401">
        <v>2300</v>
      </c>
      <c r="C39" s="402" t="str">
        <f>'Log frame'!G17</f>
        <v>Increased household access to hygiene services.</v>
      </c>
      <c r="D39" s="402" t="s">
        <v>120</v>
      </c>
      <c r="E39" s="401" t="s">
        <v>305</v>
      </c>
      <c r="F39" s="402" t="s">
        <v>122</v>
      </c>
      <c r="G39" s="409" t="s">
        <v>123</v>
      </c>
      <c r="H39" s="326" t="s">
        <v>227</v>
      </c>
      <c r="I39" s="326" t="str">
        <f t="shared" si="0"/>
        <v>Mattson</v>
      </c>
      <c r="J39" s="413" t="s">
        <v>306</v>
      </c>
      <c r="K39" s="410" t="s">
        <v>278</v>
      </c>
      <c r="L39" s="405" t="s">
        <v>279</v>
      </c>
      <c r="M39" s="330" t="s">
        <v>258</v>
      </c>
      <c r="N39" s="405" t="s">
        <v>298</v>
      </c>
      <c r="O39" s="333" t="s">
        <v>215</v>
      </c>
      <c r="P39" s="294"/>
      <c r="Q39" s="294"/>
      <c r="R39" s="331" t="s">
        <v>280</v>
      </c>
      <c r="S39" s="412" t="s">
        <v>299</v>
      </c>
      <c r="T39" s="404" t="s">
        <v>218</v>
      </c>
      <c r="U39" s="362" t="s">
        <v>247</v>
      </c>
      <c r="V39" s="198" t="s">
        <v>307</v>
      </c>
    </row>
    <row r="40" spans="1:22" ht="34.5" hidden="1" customHeight="1">
      <c r="A40" s="357" t="s">
        <v>16</v>
      </c>
      <c r="B40" s="339">
        <v>2310</v>
      </c>
      <c r="C40" s="326" t="str">
        <f>'Log frame'!G19</f>
        <v>Train skilled community animators to deliver hygiene trainings and community mobilization.​</v>
      </c>
      <c r="D40" s="340" t="s">
        <v>124</v>
      </c>
      <c r="E40" s="326" t="s">
        <v>308</v>
      </c>
      <c r="F40" s="326" t="s">
        <v>126</v>
      </c>
      <c r="G40" s="352" t="s">
        <v>127</v>
      </c>
      <c r="H40" s="326" t="s">
        <v>227</v>
      </c>
      <c r="I40" s="326" t="str">
        <f t="shared" si="0"/>
        <v>Mattson</v>
      </c>
      <c r="J40" s="326" t="s">
        <v>228</v>
      </c>
      <c r="K40" s="333" t="s">
        <v>309</v>
      </c>
      <c r="L40" s="330" t="s">
        <v>279</v>
      </c>
      <c r="M40" s="330" t="s">
        <v>258</v>
      </c>
      <c r="N40" s="330" t="s">
        <v>268</v>
      </c>
      <c r="O40" s="333" t="s">
        <v>215</v>
      </c>
      <c r="P40" s="294"/>
      <c r="Q40" s="294"/>
      <c r="R40" s="330" t="s">
        <v>223</v>
      </c>
      <c r="S40" s="341" t="s">
        <v>291</v>
      </c>
      <c r="T40" s="341" t="s">
        <v>218</v>
      </c>
      <c r="U40" s="359" t="s">
        <v>215</v>
      </c>
      <c r="V40" s="198" t="s">
        <v>240</v>
      </c>
    </row>
    <row r="41" spans="1:22" ht="34.5" hidden="1" customHeight="1">
      <c r="A41" s="357" t="s">
        <v>16</v>
      </c>
      <c r="B41" s="339">
        <v>2310</v>
      </c>
      <c r="C41" s="326" t="s">
        <v>125</v>
      </c>
      <c r="D41" s="326" t="s">
        <v>128</v>
      </c>
      <c r="E41" s="326" t="s">
        <v>310</v>
      </c>
      <c r="F41" s="326" t="s">
        <v>129</v>
      </c>
      <c r="G41" s="352" t="s">
        <v>130</v>
      </c>
      <c r="H41" s="326" t="s">
        <v>221</v>
      </c>
      <c r="I41" s="326" t="s">
        <v>222</v>
      </c>
      <c r="J41" s="326" t="s">
        <v>311</v>
      </c>
      <c r="K41" s="333" t="s">
        <v>312</v>
      </c>
      <c r="L41" s="330" t="s">
        <v>279</v>
      </c>
      <c r="M41" s="330" t="s">
        <v>213</v>
      </c>
      <c r="N41" s="330" t="s">
        <v>214</v>
      </c>
      <c r="O41" s="333" t="s">
        <v>215</v>
      </c>
      <c r="P41" s="330" t="s">
        <v>223</v>
      </c>
      <c r="Q41" s="341" t="s">
        <v>259</v>
      </c>
      <c r="R41" s="330" t="s">
        <v>223</v>
      </c>
      <c r="S41" s="341" t="s">
        <v>217</v>
      </c>
      <c r="T41" s="341" t="s">
        <v>218</v>
      </c>
      <c r="U41" s="359" t="s">
        <v>215</v>
      </c>
      <c r="V41"/>
    </row>
    <row r="42" spans="1:22" ht="34.5" hidden="1" customHeight="1">
      <c r="A42" s="357" t="s">
        <v>16</v>
      </c>
      <c r="B42" s="339">
        <v>2320</v>
      </c>
      <c r="C42" s="345" t="str">
        <f>'Log frame'!G21</f>
        <v>Certify the sustained usage of hygiene services.</v>
      </c>
      <c r="D42" s="326" t="s">
        <v>131</v>
      </c>
      <c r="E42" s="326" t="s">
        <v>313</v>
      </c>
      <c r="F42" s="340" t="s">
        <v>132</v>
      </c>
      <c r="G42" s="352" t="s">
        <v>100</v>
      </c>
      <c r="H42" s="326" t="s">
        <v>227</v>
      </c>
      <c r="I42" s="326" t="str">
        <f t="shared" si="0"/>
        <v>Mattson</v>
      </c>
      <c r="J42" s="326" t="s">
        <v>228</v>
      </c>
      <c r="K42" s="333" t="s">
        <v>290</v>
      </c>
      <c r="L42" s="330" t="s">
        <v>279</v>
      </c>
      <c r="M42" s="330" t="s">
        <v>258</v>
      </c>
      <c r="N42" s="330" t="s">
        <v>214</v>
      </c>
      <c r="O42" s="333" t="s">
        <v>215</v>
      </c>
      <c r="P42" s="294"/>
      <c r="Q42" s="294"/>
      <c r="R42" s="330" t="s">
        <v>223</v>
      </c>
      <c r="S42" s="341" t="s">
        <v>246</v>
      </c>
      <c r="T42" s="341" t="s">
        <v>218</v>
      </c>
      <c r="U42" s="359" t="s">
        <v>215</v>
      </c>
      <c r="V42" s="198" t="s">
        <v>240</v>
      </c>
    </row>
    <row r="43" spans="1:22" ht="47.1" hidden="1" customHeight="1">
      <c r="A43" s="399" t="s">
        <v>40</v>
      </c>
      <c r="B43" s="401">
        <v>2400</v>
      </c>
      <c r="C43" s="402" t="str">
        <f>'Log frame'!H17</f>
        <v>Increased access to sustainable, safe drinking water, sanitation, and hygiene materials in healthcare facilities, schools, and public places.</v>
      </c>
      <c r="D43" s="402" t="s">
        <v>133</v>
      </c>
      <c r="E43" s="414" t="s">
        <v>314</v>
      </c>
      <c r="F43" s="414" t="s">
        <v>135</v>
      </c>
      <c r="G43" s="405" t="s">
        <v>136</v>
      </c>
      <c r="H43" s="348" t="s">
        <v>209</v>
      </c>
      <c r="I43" s="348" t="s">
        <v>302</v>
      </c>
      <c r="J43" s="401" t="s">
        <v>315</v>
      </c>
      <c r="K43" s="403" t="s">
        <v>316</v>
      </c>
      <c r="L43" s="405" t="s">
        <v>279</v>
      </c>
      <c r="M43" s="330" t="s">
        <v>258</v>
      </c>
      <c r="N43" s="405" t="s">
        <v>236</v>
      </c>
      <c r="O43" s="333" t="s">
        <v>215</v>
      </c>
      <c r="P43" s="294"/>
      <c r="Q43" s="294"/>
      <c r="R43" s="331" t="s">
        <v>317</v>
      </c>
      <c r="S43" s="412" t="s">
        <v>246</v>
      </c>
      <c r="T43" s="404" t="s">
        <v>236</v>
      </c>
      <c r="U43" s="362" t="s">
        <v>247</v>
      </c>
      <c r="V43" s="198" t="s">
        <v>248</v>
      </c>
    </row>
    <row r="44" spans="1:22" ht="56.1" hidden="1" customHeight="1">
      <c r="A44" s="399" t="s">
        <v>40</v>
      </c>
      <c r="B44" s="401">
        <v>2400</v>
      </c>
      <c r="C44" s="402" t="str">
        <f>'Log frame'!H17</f>
        <v>Increased access to sustainable, safe drinking water, sanitation, and hygiene materials in healthcare facilities, schools, and public places.</v>
      </c>
      <c r="D44" s="402" t="s">
        <v>137</v>
      </c>
      <c r="E44" s="415" t="s">
        <v>318</v>
      </c>
      <c r="F44" s="414" t="s">
        <v>138</v>
      </c>
      <c r="G44" s="405" t="s">
        <v>139</v>
      </c>
      <c r="H44" s="348" t="s">
        <v>209</v>
      </c>
      <c r="I44" s="348" t="s">
        <v>302</v>
      </c>
      <c r="J44" s="401" t="s">
        <v>315</v>
      </c>
      <c r="K44" s="403" t="s">
        <v>319</v>
      </c>
      <c r="L44" s="405" t="s">
        <v>279</v>
      </c>
      <c r="M44" s="330" t="s">
        <v>258</v>
      </c>
      <c r="N44" s="405" t="s">
        <v>236</v>
      </c>
      <c r="O44" s="333" t="s">
        <v>215</v>
      </c>
      <c r="P44" s="294"/>
      <c r="Q44" s="294"/>
      <c r="R44" s="331" t="s">
        <v>320</v>
      </c>
      <c r="S44" s="412" t="s">
        <v>246</v>
      </c>
      <c r="T44" s="404" t="s">
        <v>236</v>
      </c>
      <c r="U44" s="362" t="s">
        <v>247</v>
      </c>
      <c r="V44" s="198" t="s">
        <v>248</v>
      </c>
    </row>
    <row r="45" spans="1:22" ht="34.5" hidden="1" customHeight="1">
      <c r="A45" s="357" t="s">
        <v>16</v>
      </c>
      <c r="B45" s="339">
        <v>2410</v>
      </c>
      <c r="C45" s="326" t="str">
        <f>'Log frame'!H19</f>
        <v>Construct or rehabilitate water supply for healthcare facilities and schools.</v>
      </c>
      <c r="D45" s="339" t="s">
        <v>140</v>
      </c>
      <c r="E45" s="354" t="s">
        <v>321</v>
      </c>
      <c r="F45" s="354" t="s">
        <v>142</v>
      </c>
      <c r="G45" s="330" t="s">
        <v>143</v>
      </c>
      <c r="H45" s="348" t="s">
        <v>209</v>
      </c>
      <c r="I45" s="348" t="s">
        <v>302</v>
      </c>
      <c r="J45" s="326" t="s">
        <v>322</v>
      </c>
      <c r="K45" s="333" t="s">
        <v>316</v>
      </c>
      <c r="L45" s="330" t="s">
        <v>279</v>
      </c>
      <c r="M45" s="330" t="s">
        <v>258</v>
      </c>
      <c r="N45" s="330" t="s">
        <v>218</v>
      </c>
      <c r="O45" s="333" t="s">
        <v>215</v>
      </c>
      <c r="P45" s="294"/>
      <c r="Q45" s="294"/>
      <c r="R45" s="331" t="s">
        <v>317</v>
      </c>
      <c r="S45" s="341" t="s">
        <v>246</v>
      </c>
      <c r="T45" s="341" t="s">
        <v>236</v>
      </c>
      <c r="U45" s="362" t="s">
        <v>247</v>
      </c>
      <c r="V45" s="198" t="s">
        <v>248</v>
      </c>
    </row>
    <row r="46" spans="1:22" ht="34.5" hidden="1" customHeight="1">
      <c r="A46" s="357" t="s">
        <v>16</v>
      </c>
      <c r="B46" s="339">
        <v>2410</v>
      </c>
      <c r="C46" s="326" t="str">
        <f>'Log frame'!H19</f>
        <v>Construct or rehabilitate water supply for healthcare facilities and schools.</v>
      </c>
      <c r="D46" s="339" t="s">
        <v>144</v>
      </c>
      <c r="E46" s="346" t="s">
        <v>323</v>
      </c>
      <c r="F46" s="354" t="s">
        <v>145</v>
      </c>
      <c r="G46" s="330" t="s">
        <v>146</v>
      </c>
      <c r="H46" s="348" t="s">
        <v>209</v>
      </c>
      <c r="I46" s="348" t="s">
        <v>302</v>
      </c>
      <c r="J46" s="326" t="s">
        <v>322</v>
      </c>
      <c r="K46" s="333" t="s">
        <v>319</v>
      </c>
      <c r="L46" s="330" t="s">
        <v>279</v>
      </c>
      <c r="M46" s="330" t="s">
        <v>258</v>
      </c>
      <c r="N46" s="330" t="s">
        <v>218</v>
      </c>
      <c r="O46" s="333" t="s">
        <v>215</v>
      </c>
      <c r="P46" s="294"/>
      <c r="Q46" s="294"/>
      <c r="R46" s="331" t="s">
        <v>320</v>
      </c>
      <c r="S46" s="341" t="s">
        <v>246</v>
      </c>
      <c r="T46" s="341" t="s">
        <v>236</v>
      </c>
      <c r="U46" s="362" t="s">
        <v>247</v>
      </c>
      <c r="V46" s="198" t="s">
        <v>248</v>
      </c>
    </row>
    <row r="47" spans="1:22" ht="34.5" hidden="1" customHeight="1">
      <c r="A47" s="357" t="s">
        <v>16</v>
      </c>
      <c r="B47" s="339">
        <v>2420</v>
      </c>
      <c r="C47" s="345" t="str">
        <f>'Log frame'!H21</f>
        <v>Construct communal, healthcare facility, and school latrines.</v>
      </c>
      <c r="D47" s="326" t="s">
        <v>147</v>
      </c>
      <c r="E47" s="346" t="s">
        <v>324</v>
      </c>
      <c r="F47" s="354" t="s">
        <v>149</v>
      </c>
      <c r="G47" s="330" t="s">
        <v>143</v>
      </c>
      <c r="H47" s="348" t="s">
        <v>209</v>
      </c>
      <c r="I47" s="348" t="s">
        <v>302</v>
      </c>
      <c r="J47" s="326" t="s">
        <v>325</v>
      </c>
      <c r="K47" s="333" t="s">
        <v>316</v>
      </c>
      <c r="L47" s="330" t="s">
        <v>279</v>
      </c>
      <c r="M47" s="330" t="s">
        <v>258</v>
      </c>
      <c r="N47" s="330" t="s">
        <v>218</v>
      </c>
      <c r="O47" s="333" t="s">
        <v>215</v>
      </c>
      <c r="P47" s="294"/>
      <c r="Q47" s="294"/>
      <c r="R47" s="331" t="s">
        <v>317</v>
      </c>
      <c r="S47" s="341" t="s">
        <v>246</v>
      </c>
      <c r="T47" s="341" t="s">
        <v>236</v>
      </c>
      <c r="U47" s="362" t="s">
        <v>247</v>
      </c>
      <c r="V47" s="198" t="s">
        <v>248</v>
      </c>
    </row>
    <row r="48" spans="1:22" ht="34.5" hidden="1" customHeight="1">
      <c r="A48" s="357" t="s">
        <v>16</v>
      </c>
      <c r="B48" s="339">
        <v>2420</v>
      </c>
      <c r="C48" s="345" t="str">
        <f>'Log frame'!H21</f>
        <v>Construct communal, healthcare facility, and school latrines.</v>
      </c>
      <c r="D48" s="326" t="s">
        <v>150</v>
      </c>
      <c r="E48" s="346" t="s">
        <v>326</v>
      </c>
      <c r="F48" s="354" t="s">
        <v>151</v>
      </c>
      <c r="G48" s="330" t="s">
        <v>146</v>
      </c>
      <c r="H48" s="348" t="s">
        <v>209</v>
      </c>
      <c r="I48" s="348" t="s">
        <v>302</v>
      </c>
      <c r="J48" s="326" t="s">
        <v>325</v>
      </c>
      <c r="K48" s="333" t="s">
        <v>319</v>
      </c>
      <c r="L48" s="330" t="s">
        <v>279</v>
      </c>
      <c r="M48" s="330" t="s">
        <v>258</v>
      </c>
      <c r="N48" s="330" t="s">
        <v>218</v>
      </c>
      <c r="O48" s="333" t="s">
        <v>215</v>
      </c>
      <c r="P48" s="294"/>
      <c r="Q48" s="294"/>
      <c r="R48" s="331" t="s">
        <v>320</v>
      </c>
      <c r="S48" s="341" t="s">
        <v>246</v>
      </c>
      <c r="T48" s="341" t="s">
        <v>236</v>
      </c>
      <c r="U48" s="362" t="s">
        <v>247</v>
      </c>
      <c r="V48" s="198" t="s">
        <v>248</v>
      </c>
    </row>
    <row r="49" spans="1:32" ht="34.5" hidden="1" customHeight="1">
      <c r="A49" s="357" t="s">
        <v>16</v>
      </c>
      <c r="B49" s="339">
        <v>2430</v>
      </c>
      <c r="C49" s="326" t="str">
        <f>'Log frame'!H23</f>
        <v>Work with (local authorities, civil society) to ensure access to soap or alcohol-based handrub at schools and healthcare facilities.</v>
      </c>
      <c r="D49" s="326" t="s">
        <v>152</v>
      </c>
      <c r="E49" s="326" t="s">
        <v>327</v>
      </c>
      <c r="F49" s="354" t="s">
        <v>154</v>
      </c>
      <c r="G49" s="330" t="s">
        <v>143</v>
      </c>
      <c r="H49" s="348" t="s">
        <v>209</v>
      </c>
      <c r="I49" s="348" t="s">
        <v>302</v>
      </c>
      <c r="J49" s="326" t="s">
        <v>328</v>
      </c>
      <c r="K49" s="333" t="s">
        <v>316</v>
      </c>
      <c r="L49" s="330" t="s">
        <v>279</v>
      </c>
      <c r="M49" s="330" t="s">
        <v>258</v>
      </c>
      <c r="N49" s="330" t="s">
        <v>218</v>
      </c>
      <c r="O49" s="333" t="s">
        <v>215</v>
      </c>
      <c r="P49" s="294"/>
      <c r="Q49" s="294"/>
      <c r="R49" s="331" t="s">
        <v>317</v>
      </c>
      <c r="S49" s="341" t="s">
        <v>246</v>
      </c>
      <c r="T49" s="341" t="s">
        <v>236</v>
      </c>
      <c r="U49" s="362" t="s">
        <v>247</v>
      </c>
      <c r="V49" s="336" t="s">
        <v>248</v>
      </c>
    </row>
    <row r="50" spans="1:32" ht="34.5" hidden="1" customHeight="1">
      <c r="A50" s="357" t="s">
        <v>16</v>
      </c>
      <c r="B50" s="339">
        <v>2430</v>
      </c>
      <c r="C50" s="326" t="str">
        <f>'Log frame'!H23</f>
        <v>Work with (local authorities, civil society) to ensure access to soap or alcohol-based handrub at schools and healthcare facilities.</v>
      </c>
      <c r="D50" s="326" t="s">
        <v>155</v>
      </c>
      <c r="E50" s="326" t="s">
        <v>329</v>
      </c>
      <c r="F50" s="354" t="s">
        <v>156</v>
      </c>
      <c r="G50" s="330" t="s">
        <v>146</v>
      </c>
      <c r="H50" s="348" t="s">
        <v>209</v>
      </c>
      <c r="I50" s="348" t="s">
        <v>302</v>
      </c>
      <c r="J50" s="326" t="s">
        <v>330</v>
      </c>
      <c r="K50" s="333" t="s">
        <v>319</v>
      </c>
      <c r="L50" s="330" t="s">
        <v>279</v>
      </c>
      <c r="M50" s="330" t="s">
        <v>258</v>
      </c>
      <c r="N50" s="330" t="s">
        <v>218</v>
      </c>
      <c r="O50" s="333" t="s">
        <v>215</v>
      </c>
      <c r="P50" s="294"/>
      <c r="Q50" s="294"/>
      <c r="R50" s="331" t="s">
        <v>320</v>
      </c>
      <c r="S50" s="341" t="s">
        <v>246</v>
      </c>
      <c r="T50" s="341" t="s">
        <v>236</v>
      </c>
      <c r="U50" s="362" t="s">
        <v>247</v>
      </c>
      <c r="V50" s="198" t="s">
        <v>248</v>
      </c>
    </row>
    <row r="51" spans="1:32" ht="34.5" hidden="1" customHeight="1">
      <c r="A51" s="393" t="s">
        <v>37</v>
      </c>
      <c r="B51" s="395">
        <v>3000</v>
      </c>
      <c r="C51" s="395" t="str">
        <f>'Log frame'!I15</f>
        <v>Expanded reach and resources leveraged through collective action with other national and international actors.​</v>
      </c>
      <c r="D51" s="395" t="s">
        <v>36</v>
      </c>
      <c r="E51" s="395" t="s">
        <v>36</v>
      </c>
      <c r="F51" s="395" t="s">
        <v>36</v>
      </c>
      <c r="G51" s="398" t="s">
        <v>36</v>
      </c>
      <c r="H51" s="326" t="s">
        <v>36</v>
      </c>
      <c r="I51" s="326" t="str">
        <f t="shared" si="0"/>
        <v>Mattson</v>
      </c>
      <c r="J51" s="398" t="s">
        <v>36</v>
      </c>
      <c r="K51" s="398" t="s">
        <v>36</v>
      </c>
      <c r="L51" s="398" t="s">
        <v>36</v>
      </c>
      <c r="M51" s="330"/>
      <c r="N51" s="398" t="s">
        <v>36</v>
      </c>
      <c r="O51" s="330" t="s">
        <v>36</v>
      </c>
      <c r="P51" s="330" t="s">
        <v>36</v>
      </c>
      <c r="Q51" s="330" t="s">
        <v>36</v>
      </c>
      <c r="R51" s="330" t="s">
        <v>36</v>
      </c>
      <c r="S51" s="398" t="s">
        <v>36</v>
      </c>
      <c r="T51" s="398" t="s">
        <v>36</v>
      </c>
      <c r="U51" s="361" t="s">
        <v>36</v>
      </c>
      <c r="V51" s="136" t="s">
        <v>207</v>
      </c>
    </row>
    <row r="52" spans="1:32" ht="34.5" hidden="1" customHeight="1">
      <c r="A52" s="399" t="s">
        <v>40</v>
      </c>
      <c r="B52" s="401">
        <v>3100</v>
      </c>
      <c r="C52" s="401" t="str">
        <f>'Log frame'!I17</f>
        <v>Increased government and non-government funding in alignment with HANWASH Core Values.</v>
      </c>
      <c r="D52" s="401" t="s">
        <v>157</v>
      </c>
      <c r="E52" s="401" t="s">
        <v>331</v>
      </c>
      <c r="F52" s="407" t="s">
        <v>158</v>
      </c>
      <c r="G52" s="405" t="s">
        <v>159</v>
      </c>
      <c r="H52" s="330" t="s">
        <v>332</v>
      </c>
      <c r="I52" s="330" t="str">
        <f t="shared" si="0"/>
        <v>Mattson</v>
      </c>
      <c r="J52" s="405" t="s">
        <v>333</v>
      </c>
      <c r="K52" s="403" t="s">
        <v>334</v>
      </c>
      <c r="L52" s="405" t="s">
        <v>335</v>
      </c>
      <c r="M52" s="330" t="s">
        <v>213</v>
      </c>
      <c r="N52" s="405" t="s">
        <v>236</v>
      </c>
      <c r="O52" s="350" t="s">
        <v>231</v>
      </c>
      <c r="P52" s="330"/>
      <c r="Q52" s="330"/>
      <c r="R52" s="330" t="s">
        <v>223</v>
      </c>
      <c r="S52" s="405" t="s">
        <v>336</v>
      </c>
      <c r="T52" s="405" t="s">
        <v>236</v>
      </c>
      <c r="U52" s="361" t="s">
        <v>231</v>
      </c>
      <c r="V52" s="328" t="s">
        <v>337</v>
      </c>
    </row>
    <row r="53" spans="1:32" ht="38.25" hidden="1" customHeight="1">
      <c r="A53" s="399" t="s">
        <v>40</v>
      </c>
      <c r="B53" s="401">
        <v>3100</v>
      </c>
      <c r="C53" s="401" t="str">
        <f>'Log frame'!I17</f>
        <v>Increased government and non-government funding in alignment with HANWASH Core Values.</v>
      </c>
      <c r="D53" s="409" t="s">
        <v>160</v>
      </c>
      <c r="E53" s="401" t="s">
        <v>338</v>
      </c>
      <c r="F53" s="407" t="s">
        <v>161</v>
      </c>
      <c r="G53" s="405" t="s">
        <v>162</v>
      </c>
      <c r="H53" s="330" t="s">
        <v>209</v>
      </c>
      <c r="I53" s="330" t="s">
        <v>222</v>
      </c>
      <c r="J53" s="405" t="s">
        <v>339</v>
      </c>
      <c r="K53" s="403" t="s">
        <v>334</v>
      </c>
      <c r="L53" s="405" t="s">
        <v>335</v>
      </c>
      <c r="M53" s="330" t="s">
        <v>213</v>
      </c>
      <c r="N53" s="405" t="s">
        <v>236</v>
      </c>
      <c r="O53" s="350" t="s">
        <v>231</v>
      </c>
      <c r="P53" s="330"/>
      <c r="Q53" s="330"/>
      <c r="R53" s="330" t="s">
        <v>223</v>
      </c>
      <c r="S53" s="405" t="s">
        <v>336</v>
      </c>
      <c r="T53" s="405" t="s">
        <v>236</v>
      </c>
      <c r="U53" s="361" t="s">
        <v>247</v>
      </c>
      <c r="V53" s="328" t="s">
        <v>240</v>
      </c>
      <c r="W53" s="8"/>
      <c r="X53" s="8"/>
      <c r="Y53" s="8"/>
      <c r="Z53" s="8"/>
      <c r="AA53" s="8"/>
      <c r="AB53" s="8"/>
      <c r="AC53" s="8"/>
      <c r="AD53" s="8"/>
      <c r="AE53" s="8"/>
      <c r="AF53" s="8"/>
    </row>
    <row r="54" spans="1:32" ht="34.5" hidden="1" customHeight="1">
      <c r="A54" s="357" t="s">
        <v>16</v>
      </c>
      <c r="B54" s="339">
        <v>3110</v>
      </c>
      <c r="C54" s="345" t="str">
        <f>'Log frame'!I19</f>
        <v>Mobilize and coordinate funding from government and non-government sources in HANWASH program areas in alignment with HANWASH Core Values.</v>
      </c>
      <c r="D54" s="326" t="s">
        <v>163</v>
      </c>
      <c r="E54" s="326" t="s">
        <v>340</v>
      </c>
      <c r="F54" s="340" t="s">
        <v>164</v>
      </c>
      <c r="G54" s="352" t="s">
        <v>159</v>
      </c>
      <c r="H54" s="326" t="s">
        <v>332</v>
      </c>
      <c r="I54" s="326" t="str">
        <f t="shared" si="0"/>
        <v>Mattson</v>
      </c>
      <c r="J54" s="326" t="s">
        <v>341</v>
      </c>
      <c r="K54" s="333" t="s">
        <v>334</v>
      </c>
      <c r="L54" s="330" t="s">
        <v>335</v>
      </c>
      <c r="M54" s="330" t="s">
        <v>213</v>
      </c>
      <c r="N54" s="330" t="s">
        <v>236</v>
      </c>
      <c r="O54" s="333" t="s">
        <v>231</v>
      </c>
      <c r="P54" s="294"/>
      <c r="Q54" s="294"/>
      <c r="R54" s="341" t="s">
        <v>223</v>
      </c>
      <c r="S54" s="341" t="s">
        <v>336</v>
      </c>
      <c r="T54" s="341" t="s">
        <v>236</v>
      </c>
      <c r="U54" s="359" t="s">
        <v>231</v>
      </c>
      <c r="V54" s="198" t="s">
        <v>337</v>
      </c>
    </row>
    <row r="55" spans="1:32" ht="34.5" hidden="1" customHeight="1">
      <c r="A55" s="357" t="s">
        <v>16</v>
      </c>
      <c r="B55" s="339">
        <v>3120</v>
      </c>
      <c r="C55" s="345" t="str">
        <f>'Log frame'!I21</f>
        <v>Mobilize and influence funding from government and non-government sources beyond HANWASH program areas in alignment with HANWASH Core Values.</v>
      </c>
      <c r="D55" s="326" t="s">
        <v>165</v>
      </c>
      <c r="E55" s="326" t="s">
        <v>342</v>
      </c>
      <c r="F55" s="340" t="s">
        <v>166</v>
      </c>
      <c r="G55" s="352" t="s">
        <v>159</v>
      </c>
      <c r="H55" s="326" t="s">
        <v>332</v>
      </c>
      <c r="I55" s="326" t="s">
        <v>302</v>
      </c>
      <c r="J55" s="326" t="s">
        <v>341</v>
      </c>
      <c r="K55" s="333" t="s">
        <v>334</v>
      </c>
      <c r="L55" s="330" t="s">
        <v>335</v>
      </c>
      <c r="M55" s="330" t="s">
        <v>213</v>
      </c>
      <c r="N55" s="330" t="s">
        <v>236</v>
      </c>
      <c r="O55" s="333" t="s">
        <v>231</v>
      </c>
      <c r="P55" s="294"/>
      <c r="Q55" s="294"/>
      <c r="R55" s="341" t="s">
        <v>223</v>
      </c>
      <c r="S55" s="341" t="s">
        <v>336</v>
      </c>
      <c r="T55" s="341" t="s">
        <v>236</v>
      </c>
      <c r="U55" s="359" t="s">
        <v>231</v>
      </c>
      <c r="V55" s="198" t="s">
        <v>337</v>
      </c>
    </row>
    <row r="56" spans="1:32" ht="34.5" hidden="1" customHeight="1">
      <c r="A56" s="399" t="s">
        <v>40</v>
      </c>
      <c r="B56" s="416">
        <v>3200</v>
      </c>
      <c r="C56" s="417" t="str">
        <f>'Log frame'!J17</f>
        <v>Increased capacity of DINEPA to regulate the sector and OREPA to oversee and support implementation.</v>
      </c>
      <c r="D56" s="405" t="s">
        <v>167</v>
      </c>
      <c r="E56" s="401" t="s">
        <v>343</v>
      </c>
      <c r="F56" s="401" t="s">
        <v>168</v>
      </c>
      <c r="G56" s="400" t="s">
        <v>169</v>
      </c>
      <c r="H56" s="339" t="s">
        <v>227</v>
      </c>
      <c r="I56" s="339" t="str">
        <f t="shared" si="0"/>
        <v>Mattson</v>
      </c>
      <c r="J56" s="401" t="s">
        <v>344</v>
      </c>
      <c r="K56" s="403" t="s">
        <v>345</v>
      </c>
      <c r="L56" s="401" t="s">
        <v>336</v>
      </c>
      <c r="M56" s="326" t="s">
        <v>213</v>
      </c>
      <c r="N56" s="401" t="s">
        <v>236</v>
      </c>
      <c r="O56" s="326" t="s">
        <v>36</v>
      </c>
      <c r="P56" s="326" t="s">
        <v>36</v>
      </c>
      <c r="Q56" s="326" t="s">
        <v>36</v>
      </c>
      <c r="R56" s="326" t="s">
        <v>36</v>
      </c>
      <c r="S56" s="401" t="s">
        <v>270</v>
      </c>
      <c r="T56" s="401" t="s">
        <v>236</v>
      </c>
      <c r="U56" s="358" t="s">
        <v>36</v>
      </c>
      <c r="V56" s="136" t="s">
        <v>346</v>
      </c>
    </row>
    <row r="57" spans="1:32" ht="34.5" hidden="1" customHeight="1" thickBot="1">
      <c r="A57" s="363" t="s">
        <v>16</v>
      </c>
      <c r="B57" s="364">
        <v>3220</v>
      </c>
      <c r="C57" s="365" t="str">
        <f>'Log frame'!J21</f>
        <v>Provide technical assistance and training to DINEPA and the OREPAs.</v>
      </c>
      <c r="D57" s="366" t="s">
        <v>170</v>
      </c>
      <c r="E57" s="366" t="s">
        <v>347</v>
      </c>
      <c r="F57" s="367" t="s">
        <v>171</v>
      </c>
      <c r="G57" s="368" t="s">
        <v>172</v>
      </c>
      <c r="H57" s="368" t="s">
        <v>209</v>
      </c>
      <c r="I57" s="368" t="str">
        <f t="shared" si="0"/>
        <v>Mattson</v>
      </c>
      <c r="J57" s="366" t="s">
        <v>228</v>
      </c>
      <c r="K57" s="369" t="s">
        <v>211</v>
      </c>
      <c r="L57" s="366" t="s">
        <v>279</v>
      </c>
      <c r="M57" s="366" t="s">
        <v>213</v>
      </c>
      <c r="N57" s="370" t="s">
        <v>268</v>
      </c>
      <c r="O57" s="369" t="s">
        <v>215</v>
      </c>
      <c r="P57" s="371"/>
      <c r="Q57" s="371"/>
      <c r="R57" s="370" t="s">
        <v>223</v>
      </c>
      <c r="S57" s="370" t="s">
        <v>217</v>
      </c>
      <c r="T57" s="370" t="s">
        <v>218</v>
      </c>
      <c r="U57" s="372" t="s">
        <v>215</v>
      </c>
      <c r="V57" s="198" t="s">
        <v>240</v>
      </c>
    </row>
  </sheetData>
  <autoFilter ref="A11:N57" xr:uid="{BE8B9DD6-C48E-49B4-B8BB-6D4871740D80}">
    <filterColumn colId="11">
      <filters>
        <filter val="M&amp;E RC Focal points"/>
      </filters>
    </filterColumn>
  </autoFilter>
  <mergeCells count="19">
    <mergeCell ref="A5:C5"/>
    <mergeCell ref="F5:T5"/>
    <mergeCell ref="A1:C1"/>
    <mergeCell ref="A2:C2"/>
    <mergeCell ref="A3:C3"/>
    <mergeCell ref="A4:C4"/>
    <mergeCell ref="F4:T4"/>
    <mergeCell ref="V10:V11"/>
    <mergeCell ref="A6:C6"/>
    <mergeCell ref="F6:T6"/>
    <mergeCell ref="A7:C7"/>
    <mergeCell ref="F7:T7"/>
    <mergeCell ref="A8:C8"/>
    <mergeCell ref="F8:T8"/>
    <mergeCell ref="A10:C10"/>
    <mergeCell ref="D10:J10"/>
    <mergeCell ref="K10:O10"/>
    <mergeCell ref="P10:Q10"/>
    <mergeCell ref="R10:U10"/>
  </mergeCells>
  <hyperlinks>
    <hyperlink ref="K33" r:id="rId1" location="/forms/d97abfe8b83843dcb03c5b1d72e01f93/preview" xr:uid="{06FD425D-213C-4279-9CF2-6D37B291EEE6}"/>
    <hyperlink ref="R21" r:id="rId2" location="/forms/530fe4e5a09f42d0a96cef1b855a5241/preview" display="HANWASH household audit" xr:uid="{D8A48216-2017-43DE-9715-69B56691FE17}"/>
    <hyperlink ref="K40" r:id="rId3" location="/forms/76ba0885e88a4c20b8686aa9204acd30" display="Implementation event tracking form" xr:uid="{9E90A70B-9657-4318-BF0F-D8707DB19732}"/>
    <hyperlink ref="K14" r:id="rId4" location="/forms/76ba0885e88a4c20b8686aa9204acd30" xr:uid="{A447BC4B-1526-4DC5-9855-92EA11FCADD4}"/>
    <hyperlink ref="K16" r:id="rId5" location="/forms/76ba0885e88a4c20b8686aa9204acd30" xr:uid="{720A3F4C-7398-4E3C-BCFA-6A7688BC91FE}"/>
    <hyperlink ref="K19" r:id="rId6" location="/forms/76ba0885e88a4c20b8686aa9204acd30" xr:uid="{46D418D3-4140-4EC3-8754-5AB0AACEA50F}"/>
    <hyperlink ref="K21" r:id="rId7" location="/forms/fad15f51bbf44bb0bf9c36f08887c2dd" display="Water point survey (type &amp; functionality) + rapid community assessment (HH count)" xr:uid="{82158608-DACC-4639-A6AB-4C32B1044964}"/>
    <hyperlink ref="K23" r:id="rId8" location="/forms/d97abfe8b83843dcb03c5b1d72e01f93/preview" display="SAEP monthly report" xr:uid="{6F7355D7-4656-4EC3-A0F5-EFE708136DC4}"/>
    <hyperlink ref="K27" r:id="rId9" location="/forms/d97abfe8b83843dcb03c5b1d72e01f93/preview" xr:uid="{1B19DDC7-2019-407C-AF4E-0554C323EB70}"/>
    <hyperlink ref="K43" r:id="rId10" location="/forms/802cd40b8ada491eae959778d70597bf" xr:uid="{B571AF3E-74E7-4688-A5EE-93D7DA3D39CB}"/>
    <hyperlink ref="K45" r:id="rId11" location="/forms/802cd40b8ada491eae959778d70597bf" xr:uid="{8F7409AD-ABC6-4356-BB43-6187904E3CED}"/>
    <hyperlink ref="K47" r:id="rId12" location="/forms/802cd40b8ada491eae959778d70597bf" xr:uid="{A4159405-070A-48DC-9687-E6C1A002E8D5}"/>
    <hyperlink ref="K49" r:id="rId13" location="/forms/802cd40b8ada491eae959778d70597bf" xr:uid="{EA77C549-01AF-469D-A7D3-B628CD6A1901}"/>
    <hyperlink ref="K44" r:id="rId14" location="/forms/b823db9a3c794e3bbfb204540990c2c8" xr:uid="{0351CDFC-251C-44D9-AAD3-495B6CC47A52}"/>
    <hyperlink ref="K46" r:id="rId15" location="/forms/b823db9a3c794e3bbfb204540990c2c8" xr:uid="{B116173B-BF79-4D66-9D55-CDCB902354D6}"/>
    <hyperlink ref="K48" r:id="rId16" location="/forms/b823db9a3c794e3bbfb204540990c2c8" xr:uid="{5A8CBC2F-D77A-4802-A6EF-0A27CDBA6654}"/>
    <hyperlink ref="K50" r:id="rId17" location="/forms/b823db9a3c794e3bbfb204540990c2c8" xr:uid="{1D817C76-006A-4565-91B1-8BFA99B2078E}"/>
    <hyperlink ref="K32" r:id="rId18" location="/forms/fad15f51bbf44bb0bf9c36f08887c2dd" display="Water point survey (type &amp; functionality) + rapid community assessment (HH count)" xr:uid="{5B9E640C-29E1-4DFF-B03B-BEA844323E36}"/>
    <hyperlink ref="K57" r:id="rId19" location="/forms/76ba0885e88a4c20b8686aa9204acd30" xr:uid="{6C13F849-FF84-4E7A-A7C1-DCE13412E276}"/>
    <hyperlink ref="P17" r:id="rId20" location="/consoles/818a590d510e40728bc1e969aa98c0db?tab=e4139e54-32f5-49d7-872a-9c40004944f3" xr:uid="{7DF5DCCE-B0E2-428A-8BA5-AC8A66EEC968}"/>
    <hyperlink ref="P21" r:id="rId21" location="/forms/fad15f51bbf44bb0bf9c36f08887c2dd" display="Water point survey (type &amp; functionality) + rapid community assessment (HH count)" xr:uid="{91082EDE-211D-42A2-862E-66C4E7835CB1}"/>
    <hyperlink ref="O21" r:id="rId22" location="/consoles/1d080c5b8c154825b446b267319a8288?tab=b96fe26a-1712-43b1-a86b-26e9f7b833b4" xr:uid="{0477ACD4-4EE2-412D-AD66-B20009F6CAA8}"/>
    <hyperlink ref="O17" r:id="rId23" location="/consoles/818a590d510e40728bc1e969aa98c0db?tab=e4139e54-32f5-49d7-872a-9c40004944f3" xr:uid="{DF3B0F37-9BE0-419D-86D8-FE14DBC5EB5B}"/>
    <hyperlink ref="O29" r:id="rId24" location="/consoles/1d080c5b8c154825b446b267319a8288?tab=b96fe26a-1712-43b1-a86b-26e9f7b833b4" xr:uid="{63BCAD55-796A-4F9E-9A6A-07EC194B43F4}"/>
    <hyperlink ref="O30" r:id="rId25" location="/consoles/1d080c5b8c154825b446b267319a8288?tab=b96fe26a-1712-43b1-a86b-26e9f7b833b4" xr:uid="{8D15BD10-27EB-4340-AC71-7E257CE9AEB6}"/>
    <hyperlink ref="O36" r:id="rId26" location="/consoles/1d080c5b8c154825b446b267319a8288?tab=b96fe26a-1712-43b1-a86b-26e9f7b833b4" xr:uid="{5C7D7BCA-8565-4BB8-828D-AF6ABFB94D7D}"/>
    <hyperlink ref="O43" r:id="rId27" location="/consoles/1d080c5b8c154825b446b267319a8288?tab=b96fe26a-1712-43b1-a86b-26e9f7b833b4" xr:uid="{51E0AEA7-624C-44BA-95DA-984E65991D7E}"/>
    <hyperlink ref="O44" r:id="rId28" location="/consoles/1d080c5b8c154825b446b267319a8288?tab=b96fe26a-1712-43b1-a86b-26e9f7b833b4" xr:uid="{FAE17050-C02F-4AF8-93FA-51FF9B932B08}"/>
    <hyperlink ref="O14" r:id="rId29" location="/consoles/1d080c5b8c154825b446b267319a8288?tab=b96fe26a-1712-43b1-a86b-26e9f7b833b4" xr:uid="{89873C24-CBDF-4C28-9D66-CE112F905A88}"/>
    <hyperlink ref="O16" r:id="rId30" location="/consoles/1d080c5b8c154825b446b267319a8288?tab=b96fe26a-1712-43b1-a86b-26e9f7b833b4" xr:uid="{5D0E4452-188B-4322-AB2A-D041D0322FFC}"/>
    <hyperlink ref="O18" r:id="rId31" location="/consoles/818a590d510e40728bc1e969aa98c0db?tab=e4139e54-32f5-49d7-872a-9c40004944f3" xr:uid="{B0132A88-C1B5-443B-9C21-487FF589314B}"/>
    <hyperlink ref="O19" r:id="rId32" location="/consoles/1d080c5b8c154825b446b267319a8288?tab=b96fe26a-1712-43b1-a86b-26e9f7b833b4" xr:uid="{03AB3CD8-873C-493C-8E80-12875880919C}"/>
    <hyperlink ref="O23" r:id="rId33" location="/consoles/1d080c5b8c154825b446b267319a8288?tab=b96fe26a-1712-43b1-a86b-26e9f7b833b4" xr:uid="{68CF0D0D-19DE-4827-83DD-072C30D71D57}"/>
    <hyperlink ref="O27" r:id="rId34" location="/consoles/1d080c5b8c154825b446b267319a8288?tab=b96fe26a-1712-43b1-a86b-26e9f7b833b4" xr:uid="{3439A8ED-53E9-4BB7-8907-B380D8E376AC}"/>
    <hyperlink ref="O32" r:id="rId35" location="/consoles/1d080c5b8c154825b446b267319a8288?tab=b96fe26a-1712-43b1-a86b-26e9f7b833b4" xr:uid="{5FB2777D-F8CD-423F-9641-B0045F282082}"/>
    <hyperlink ref="O33" r:id="rId36" location="/consoles/1d080c5b8c154825b446b267319a8288?tab=b96fe26a-1712-43b1-a86b-26e9f7b833b4" xr:uid="{24821B15-535A-4916-A50F-CF584A4C04A1}"/>
    <hyperlink ref="O37" r:id="rId37" location="/consoles/1d080c5b8c154825b446b267319a8288?tab=b96fe26a-1712-43b1-a86b-26e9f7b833b4" xr:uid="{F70ABF64-9B7C-4BE7-A1B7-608DAF91D48E}"/>
    <hyperlink ref="O40" r:id="rId38" location="/consoles/1d080c5b8c154825b446b267319a8288?tab=b96fe26a-1712-43b1-a86b-26e9f7b833b4" xr:uid="{A936AB15-A6E0-45ED-B609-631A8ED81F84}"/>
    <hyperlink ref="O42" r:id="rId39" location="/consoles/1d080c5b8c154825b446b267319a8288?tab=b96fe26a-1712-43b1-a86b-26e9f7b833b4" xr:uid="{9BFE6A99-24EB-4740-83B6-9B95AFCA8F26}"/>
    <hyperlink ref="O45" r:id="rId40" location="/consoles/1d080c5b8c154825b446b267319a8288?tab=b96fe26a-1712-43b1-a86b-26e9f7b833b4" xr:uid="{C755975D-EE1F-442D-B3B4-622E1CE60CC7}"/>
    <hyperlink ref="O46" r:id="rId41" location="/consoles/1d080c5b8c154825b446b267319a8288?tab=b96fe26a-1712-43b1-a86b-26e9f7b833b4" xr:uid="{8CF82BEB-5131-4D39-87CE-9858DFBA617E}"/>
    <hyperlink ref="O47" r:id="rId42" location="/consoles/1d080c5b8c154825b446b267319a8288?tab=b96fe26a-1712-43b1-a86b-26e9f7b833b4" xr:uid="{89341C01-5B3E-4F7A-B7D5-6E7EBDAA4E91}"/>
    <hyperlink ref="O48" r:id="rId43" location="/consoles/1d080c5b8c154825b446b267319a8288?tab=b96fe26a-1712-43b1-a86b-26e9f7b833b4" xr:uid="{F4789228-2E54-457E-8106-5431398C5F26}"/>
    <hyperlink ref="O49" r:id="rId44" location="/consoles/1d080c5b8c154825b446b267319a8288?tab=b96fe26a-1712-43b1-a86b-26e9f7b833b4" xr:uid="{A719992A-3E35-4B47-A86C-9B01A05F82FB}"/>
    <hyperlink ref="O50" r:id="rId45" location="/consoles/1d080c5b8c154825b446b267319a8288?tab=b96fe26a-1712-43b1-a86b-26e9f7b833b4" xr:uid="{DBB7AE31-6188-44A4-8509-201C83BA4EBE}"/>
    <hyperlink ref="O54" r:id="rId46" location="/consoles/818a590d510e40728bc1e969aa98c0db?tab=e4139e54-32f5-49d7-872a-9c40004944f3" xr:uid="{E4CA3797-E35B-4FC3-B165-4F261F3AC9E4}"/>
    <hyperlink ref="O55" r:id="rId47" location="/consoles/818a590d510e40728bc1e969aa98c0db?tab=e4139e54-32f5-49d7-872a-9c40004944f3" xr:uid="{3E409E05-390D-447F-9910-B0E94F7CF1EC}"/>
    <hyperlink ref="O57" r:id="rId48" location="/consoles/1d080c5b8c154825b446b267319a8288?tab=b96fe26a-1712-43b1-a86b-26e9f7b833b4" xr:uid="{24C94D31-3152-4C08-A250-E0FB06DED3E5}"/>
    <hyperlink ref="U17" r:id="rId49" location="/consoles/818a590d510e40728bc1e969aa98c0db?tab=e4139e54-32f5-49d7-872a-9c40004944f3" xr:uid="{16AB5B4D-F7FC-4865-B2B8-07F8A3B49BE4}"/>
    <hyperlink ref="U14" r:id="rId50" location="/consoles/1d080c5b8c154825b446b267319a8288?tab=b96fe26a-1712-43b1-a86b-26e9f7b833b4" xr:uid="{667A5744-2FCF-4383-ADAC-FC3C3D8DFE7E}"/>
    <hyperlink ref="U16" r:id="rId51" location="/consoles/1d080c5b8c154825b446b267319a8288?tab=b96fe26a-1712-43b1-a86b-26e9f7b833b4" xr:uid="{DA45941E-462E-48F4-A097-042C6909D437}"/>
    <hyperlink ref="U18" r:id="rId52" location="/consoles/818a590d510e40728bc1e969aa98c0db?tab=e4139e54-32f5-49d7-872a-9c40004944f3" xr:uid="{6B35FC5E-361A-4AD6-BAB9-06171A4E6087}"/>
    <hyperlink ref="R29" r:id="rId53" location="/forms/530fe4e5a09f42d0a96cef1b855a5241/preview" xr:uid="{47834810-CE82-4B47-BBCD-21469E760E1F}"/>
    <hyperlink ref="R30" r:id="rId54" location="/forms/530fe4e5a09f42d0a96cef1b855a5241/preview" xr:uid="{CC576F18-8E99-4510-9213-B29E5426664C}"/>
    <hyperlink ref="R36" r:id="rId55" location="/forms/530fe4e5a09f42d0a96cef1b855a5241/preview" xr:uid="{4B406719-12CE-45BA-BEAE-68FC11B574CE}"/>
    <hyperlink ref="R43" r:id="rId56" location="/forms/802cd40b8ada491eae959778d70597bf" xr:uid="{1601420C-EB93-493F-B6C4-44932E2640F6}"/>
    <hyperlink ref="R44" r:id="rId57" location="/forms/b823db9a3c794e3bbfb204540990c2c8" xr:uid="{4AD8C582-074C-481B-B1F8-513C041D855F}"/>
    <hyperlink ref="U23" r:id="rId58" location="/consoles/1d080c5b8c154825b446b267319a8288?tab=b96fe26a-1712-43b1-a86b-26e9f7b833b4" xr:uid="{F34E0D06-CAC0-4E9C-9CDF-C5C940A190B8}"/>
    <hyperlink ref="U27" r:id="rId59" location="/consoles/1d080c5b8c154825b446b267319a8288?tab=b96fe26a-1712-43b1-a86b-26e9f7b833b4" xr:uid="{E36AA481-D0E9-4BE2-8A99-F21C356BDBF6}"/>
    <hyperlink ref="R32" r:id="rId60" location="/forms/530fe4e5a09f42d0a96cef1b855a5241/preview" xr:uid="{F4B64962-E810-4954-96B2-F4E8F2C896CE}"/>
    <hyperlink ref="R33" r:id="rId61" location="/forms/530fe4e5a09f42d0a96cef1b855a5241/preview" xr:uid="{5E703F94-0B61-44FB-A0D0-6B10B3BA98A6}"/>
    <hyperlink ref="R37" r:id="rId62" location="/forms/530fe4e5a09f42d0a96cef1b855a5241/preview" xr:uid="{ECA8EC91-8024-4854-B7E4-8523A98558A5}"/>
    <hyperlink ref="U40" r:id="rId63" location="/consoles/1d080c5b8c154825b446b267319a8288?tab=b96fe26a-1712-43b1-a86b-26e9f7b833b4" xr:uid="{BF87D5D0-C72A-4B83-8A8E-05AAF102F767}"/>
    <hyperlink ref="U42" r:id="rId64" location="/consoles/1d080c5b8c154825b446b267319a8288?tab=b96fe26a-1712-43b1-a86b-26e9f7b833b4" xr:uid="{EB7F6097-02A4-4997-AA07-C8035104DD6E}"/>
    <hyperlink ref="R45" r:id="rId65" location="/forms/802cd40b8ada491eae959778d70597bf" xr:uid="{537DEA90-989C-42EB-873B-B68A56BE57CD}"/>
    <hyperlink ref="R47" r:id="rId66" location="/forms/802cd40b8ada491eae959778d70597bf" xr:uid="{1265E24A-5661-49E3-A0F8-B24DF2C9F10D}"/>
    <hyperlink ref="R49" r:id="rId67" location="/forms/802cd40b8ada491eae959778d70597bf" xr:uid="{1065205D-6767-45EA-B481-54D992CAF54C}"/>
    <hyperlink ref="R46" r:id="rId68" location="/forms/b823db9a3c794e3bbfb204540990c2c8" xr:uid="{B3A868CD-C040-417A-914F-E9EBB2753ED4}"/>
    <hyperlink ref="R48" r:id="rId69" location="/forms/b823db9a3c794e3bbfb204540990c2c8" xr:uid="{B49A89FE-3148-4F6C-BCB4-7CE4E55123DD}"/>
    <hyperlink ref="R50" r:id="rId70" location="/forms/b823db9a3c794e3bbfb204540990c2c8" xr:uid="{3E7E341A-C992-4570-A3AC-6A67BEBC4E86}"/>
    <hyperlink ref="U52" r:id="rId71" location="/consoles/818a590d510e40728bc1e969aa98c0db?tab=e4139e54-32f5-49d7-872a-9c40004944f3" xr:uid="{DF7A24CF-4F36-4884-A724-451B71D0DB6C}"/>
    <hyperlink ref="U54" r:id="rId72" location="/consoles/818a590d510e40728bc1e969aa98c0db?tab=e4139e54-32f5-49d7-872a-9c40004944f3" xr:uid="{76B01A17-970B-4F30-8AF4-00F990ABBB1E}"/>
    <hyperlink ref="U55" r:id="rId73" location="/consoles/818a590d510e40728bc1e969aa98c0db?tab=e4139e54-32f5-49d7-872a-9c40004944f3" xr:uid="{DF61AAD2-AA7E-4CE8-B292-AA0FB85343FF}"/>
    <hyperlink ref="U57" r:id="rId74" location="/consoles/1d080c5b8c154825b446b267319a8288?tab=b96fe26a-1712-43b1-a86b-26e9f7b833b4" xr:uid="{084C36FC-A778-4659-A4AF-434ADB437822}"/>
    <hyperlink ref="U19" r:id="rId75" location="/consoles/1d080c5b8c154825b446b267319a8288?tab=b96fe26a-1712-43b1-a86b-26e9f7b833b4" xr:uid="{F7FBA9C3-ED41-427A-890C-7D54D11E8B30}"/>
    <hyperlink ref="A5" r:id="rId76" xr:uid="{70371D38-14DC-4014-91E9-8A354869954C}"/>
    <hyperlink ref="O38" r:id="rId77" location="/consoles/1d080c5b8c154825b446b267319a8288?tab=b96fe26a-1712-43b1-a86b-26e9f7b833b4" xr:uid="{863CF7B0-A175-4B85-807F-E40266A054A1}"/>
    <hyperlink ref="R38" r:id="rId78" location="/forms/530fe4e5a09f42d0a96cef1b855a5241/preview" xr:uid="{388BFBE2-4B25-4949-BD34-216D242EDB95}"/>
    <hyperlink ref="K35" r:id="rId79" location="/forms/e045ce2509964909bed52a842b28dffd" display="ODF verification and certification" xr:uid="{911A7F6F-C3F2-4D22-985D-ADDDB66F945A}"/>
    <hyperlink ref="O35" r:id="rId80" location="/consoles/1d080c5b8c154825b446b267319a8288?tab=b96fe26a-1712-43b1-a86b-26e9f7b833b4" xr:uid="{C2454175-1DC3-49F2-A73D-F11F2F623B0A}"/>
    <hyperlink ref="R35" r:id="rId81" location="/forms/530fe4e5a09f42d0a96cef1b855a5241/preview" xr:uid="{73D218C1-201C-4978-8F23-15FAFB673C84}"/>
    <hyperlink ref="O34" r:id="rId82" location="/consoles/1d080c5b8c154825b446b267319a8288?tab=b96fe26a-1712-43b1-a86b-26e9f7b833b4" xr:uid="{DAB7589E-89F8-486A-93F9-D4E1B8917EBC}"/>
    <hyperlink ref="R34" r:id="rId83" location="/forms/530fe4e5a09f42d0a96cef1b855a5241/preview" xr:uid="{CBA06F44-9DAD-40B1-8746-698E557A0A26}"/>
    <hyperlink ref="O39" r:id="rId84" location="/consoles/1d080c5b8c154825b446b267319a8288?tab=b96fe26a-1712-43b1-a86b-26e9f7b833b4" xr:uid="{CFDB2264-D7B4-4E29-98B6-51EA418A636B}"/>
    <hyperlink ref="R39" r:id="rId85" location="/forms/530fe4e5a09f42d0a96cef1b855a5241/preview" xr:uid="{DFC11E92-4325-4782-A376-54B5EFF5F535}"/>
    <hyperlink ref="K34" r:id="rId86" location="/forms/2bd65fbd2daf4064ac60694210797595" display="Rapid community assessment" xr:uid="{41987C98-7D58-454F-B0EF-8512A12E8168}"/>
    <hyperlink ref="K39" r:id="rId87" location="/forms/530fe4e5a09f42d0a96cef1b855a5241/preview" xr:uid="{BD858EC4-7649-4328-A925-C55FB186BCC7}"/>
    <hyperlink ref="K36" r:id="rId88" location="/forms/530fe4e5a09f42d0a96cef1b855a5241/preview" xr:uid="{C60D2F60-2074-4A7F-931A-6336C1E41105}"/>
    <hyperlink ref="K30" r:id="rId89" location="/forms/530fe4e5a09f42d0a96cef1b855a5241/preview" xr:uid="{56DE375F-4F9B-4AE5-8D50-43D2BB243C09}"/>
    <hyperlink ref="K29" r:id="rId90" location="/forms/530fe4e5a09f42d0a96cef1b855a5241/preview" xr:uid="{15CF3A21-1115-4795-BD0A-68AFA14C230B}"/>
    <hyperlink ref="K37" r:id="rId91" location="/forms/530fe4e5a09f42d0a96cef1b855a5241/preview" xr:uid="{F0A436B1-52AE-41AD-AD6F-997E509D8507}"/>
    <hyperlink ref="K42" r:id="rId92" location="/forms/e045ce2509964909bed52a842b28dffd" display="ODF verification and certification" xr:uid="{7A920D0E-E34D-47ED-81E2-6AE0A3C302DC}"/>
    <hyperlink ref="O20" r:id="rId93" location="/consoles/1d080c5b8c154825b446b267319a8288?tab=b96fe26a-1712-43b1-a86b-26e9f7b833b4" xr:uid="{3947F66B-736D-498F-A631-0C58A10E326D}"/>
    <hyperlink ref="R20" r:id="rId94" location="/forms/530fe4e5a09f42d0a96cef1b855a5241/preview" display="HANWASH household audit" xr:uid="{D922601A-ADBA-423E-9FCD-B7A43606D21A}"/>
    <hyperlink ref="K31" r:id="rId95" location="/forms/fad15f51bbf44bb0bf9c36f08887c2dd" display="Water point survey (type &amp; functionality) + rapid community assessment (HH count)" xr:uid="{3723FF3A-03BD-46A0-BAC5-A18684AF2A7A}"/>
    <hyperlink ref="O31" r:id="rId96" location="/consoles/1d080c5b8c154825b446b267319a8288?tab=b96fe26a-1712-43b1-a86b-26e9f7b833b4" xr:uid="{DE1AE934-099D-4B97-B9D1-6CDAD0CC0686}"/>
    <hyperlink ref="R31" r:id="rId97" location="/forms/530fe4e5a09f42d0a96cef1b855a5241/preview" display="HANWASH household audit" xr:uid="{3F5ED287-4EF6-445D-AC29-1B4296DB462E}"/>
    <hyperlink ref="K56" r:id="rId98" location="/tables/ts109/t6" xr:uid="{F41043D8-BB0C-4522-B69F-CDE5D74157C3}"/>
    <hyperlink ref="O53" r:id="rId99" location="/consoles/818a590d510e40728bc1e969aa98c0db?tab=e4139e54-32f5-49d7-872a-9c40004944f3" xr:uid="{D63A70AA-C88A-4E57-8E20-034074A8C5D5}"/>
    <hyperlink ref="O52" r:id="rId100" location="/consoles/818a590d510e40728bc1e969aa98c0db?tab=e4139e54-32f5-49d7-872a-9c40004944f3" xr:uid="{2E1A8B80-DE04-46F7-9612-851A4C090075}"/>
    <hyperlink ref="K22" r:id="rId101" location="/forms/fad15f51bbf44bb0bf9c36f08887c2dd" display="Water point survey (type &amp; functionality) + rapid community assessment (HH count)" xr:uid="{E648146F-6380-4327-A304-08717A0706F3}"/>
    <hyperlink ref="O22" r:id="rId102" location="/consoles/1d080c5b8c154825b446b267319a8288?tab=b96fe26a-1712-43b1-a86b-26e9f7b833b4" xr:uid="{16DE90F7-37AB-46A2-A7F9-CFBF4C9AC6B0}"/>
    <hyperlink ref="P22" r:id="rId103" location="/forms/530fe4e5a09f42d0a96cef1b855a5241/preview" display="HANWASH household audit" xr:uid="{2E948593-1029-4394-9BF0-1CB0F59AB51F}"/>
    <hyperlink ref="K15" r:id="rId104" location="/forms/76ba0885e88a4c20b8686aa9204acd30" xr:uid="{DD893A2E-2D19-4A8E-8E1E-9671E3021CEF}"/>
    <hyperlink ref="O15" r:id="rId105" location="/consoles/1d080c5b8c154825b446b267319a8288?tab=b96fe26a-1712-43b1-a86b-26e9f7b833b4" xr:uid="{F44A610C-421D-4F67-A113-20FE966C14F8}"/>
    <hyperlink ref="K41" r:id="rId106" location="/forms/76ba0885e88a4c20b8686aa9204acd30" display="Implementation event tracking form" xr:uid="{C6FB4B2B-9BE6-4F6E-9F1D-00EAD72840D7}"/>
    <hyperlink ref="O41" r:id="rId107" location="/consoles/1d080c5b8c154825b446b267319a8288?tab=b96fe26a-1712-43b1-a86b-26e9f7b833b4" xr:uid="{C91E91CE-1127-4903-8584-65E54544D7B4}"/>
    <hyperlink ref="U41" r:id="rId108" location="/consoles/1d080c5b8c154825b446b267319a8288?tab=b96fe26a-1712-43b1-a86b-26e9f7b833b4" xr:uid="{5149BB48-53B6-4ED5-9210-CF2FB84D527B}"/>
    <hyperlink ref="K24" r:id="rId109" location="/forms/d97abfe8b83843dcb03c5b1d72e01f93/preview" display="SAEP monthly report" xr:uid="{5C79C29C-B041-4042-AF9A-63DC54F03032}"/>
    <hyperlink ref="O24" r:id="rId110" location="/consoles/1d080c5b8c154825b446b267319a8288?tab=b96fe26a-1712-43b1-a86b-26e9f7b833b4" xr:uid="{BA49148B-5262-417D-BDBF-5474853CDAF5}"/>
    <hyperlink ref="U24" r:id="rId111" location="/consoles/1d080c5b8c154825b446b267319a8288?tab=b96fe26a-1712-43b1-a86b-26e9f7b833b4" xr:uid="{654B8601-2C07-4055-A0BD-226633797164}"/>
  </hyperlinks>
  <pageMargins left="0.7" right="0.7" top="0.75" bottom="0.75" header="0.3" footer="0.3"/>
  <pageSetup fitToWidth="0" orientation="portrait"/>
  <legacyDrawing r:id="rId11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22B21-83F7-462F-AF8F-A0E8052C4FD0}">
  <dimension ref="A1:S59"/>
  <sheetViews>
    <sheetView topLeftCell="C19" workbookViewId="0">
      <selection activeCell="F33" sqref="F33"/>
    </sheetView>
  </sheetViews>
  <sheetFormatPr defaultColWidth="8.625" defaultRowHeight="22.5" customHeight="1"/>
  <cols>
    <col min="1" max="1" width="29.625" customWidth="1"/>
    <col min="2" max="2" width="5.25" bestFit="1" customWidth="1"/>
    <col min="3" max="3" width="65.375" customWidth="1"/>
    <col min="4" max="4" width="10.75" bestFit="1" customWidth="1"/>
    <col min="5" max="5" width="47.75" bestFit="1" customWidth="1"/>
    <col min="6" max="6" width="111.125" style="317" customWidth="1"/>
    <col min="7" max="7" width="48.25" bestFit="1" customWidth="1"/>
    <col min="8" max="8" width="22.375" bestFit="1" customWidth="1"/>
    <col min="10" max="10" width="15" bestFit="1" customWidth="1"/>
    <col min="11" max="11" width="10.625" bestFit="1" customWidth="1"/>
    <col min="12" max="12" width="10.875" bestFit="1" customWidth="1"/>
    <col min="13" max="13" width="9.625" bestFit="1" customWidth="1"/>
    <col min="14" max="14" width="11.625" bestFit="1" customWidth="1"/>
    <col min="15" max="15" width="20" bestFit="1" customWidth="1"/>
    <col min="17" max="17" width="9.625" bestFit="1" customWidth="1"/>
    <col min="18" max="18" width="11.625" bestFit="1" customWidth="1"/>
    <col min="19" max="19" width="51.125" customWidth="1"/>
  </cols>
  <sheetData>
    <row r="1" spans="1:19" ht="22.5" customHeight="1">
      <c r="A1" s="287" t="s">
        <v>8</v>
      </c>
      <c r="B1" s="287" t="s">
        <v>194</v>
      </c>
      <c r="C1" s="287" t="s">
        <v>9</v>
      </c>
      <c r="D1" s="286" t="s">
        <v>195</v>
      </c>
      <c r="E1" s="287" t="s">
        <v>28</v>
      </c>
      <c r="F1" s="296" t="s">
        <v>29</v>
      </c>
      <c r="G1" s="286" t="s">
        <v>30</v>
      </c>
      <c r="H1" s="287" t="s">
        <v>196</v>
      </c>
      <c r="I1" s="288" t="s">
        <v>197</v>
      </c>
      <c r="J1" s="288" t="s">
        <v>198</v>
      </c>
      <c r="K1" s="286" t="s">
        <v>469</v>
      </c>
      <c r="L1" s="286" t="s">
        <v>200</v>
      </c>
      <c r="M1" s="286" t="s">
        <v>470</v>
      </c>
      <c r="N1" s="286" t="s">
        <v>471</v>
      </c>
      <c r="O1" s="286" t="s">
        <v>199</v>
      </c>
      <c r="P1" s="286" t="s">
        <v>365</v>
      </c>
      <c r="Q1" s="286" t="s">
        <v>202</v>
      </c>
      <c r="R1" s="286" t="s">
        <v>203</v>
      </c>
      <c r="S1" s="286" t="s">
        <v>193</v>
      </c>
    </row>
    <row r="2" spans="1:19" ht="22.5" customHeight="1">
      <c r="A2" s="45" t="s">
        <v>10</v>
      </c>
      <c r="B2" s="46">
        <v>1</v>
      </c>
      <c r="C2" s="47" t="s">
        <v>35</v>
      </c>
      <c r="D2" s="47" t="s">
        <v>36</v>
      </c>
      <c r="E2" s="47" t="s">
        <v>36</v>
      </c>
      <c r="F2" s="297" t="s">
        <v>36</v>
      </c>
      <c r="G2" s="47" t="s">
        <v>36</v>
      </c>
      <c r="H2" s="126" t="s">
        <v>36</v>
      </c>
      <c r="I2" s="119" t="s">
        <v>222</v>
      </c>
      <c r="J2" s="134" t="s">
        <v>36</v>
      </c>
      <c r="K2" s="47" t="s">
        <v>36</v>
      </c>
      <c r="L2" s="47" t="s">
        <v>36</v>
      </c>
      <c r="M2" s="47" t="s">
        <v>36</v>
      </c>
      <c r="N2" s="47" t="s">
        <v>36</v>
      </c>
      <c r="O2" s="47" t="s">
        <v>36</v>
      </c>
      <c r="P2" s="47" t="s">
        <v>36</v>
      </c>
      <c r="Q2" s="47" t="s">
        <v>36</v>
      </c>
      <c r="R2" s="47" t="s">
        <v>36</v>
      </c>
      <c r="S2" s="47" t="s">
        <v>207</v>
      </c>
    </row>
    <row r="3" spans="1:19" ht="22.5" customHeight="1">
      <c r="A3" s="48" t="s">
        <v>37</v>
      </c>
      <c r="B3" s="49">
        <v>1000</v>
      </c>
      <c r="C3" s="50" t="s">
        <v>38</v>
      </c>
      <c r="D3" s="50" t="s">
        <v>36</v>
      </c>
      <c r="E3" s="50" t="s">
        <v>36</v>
      </c>
      <c r="F3" s="298" t="s">
        <v>36</v>
      </c>
      <c r="G3" s="50" t="s">
        <v>36</v>
      </c>
      <c r="H3" s="127" t="s">
        <v>36</v>
      </c>
      <c r="I3" s="120" t="s">
        <v>222</v>
      </c>
      <c r="J3" s="135" t="s">
        <v>36</v>
      </c>
      <c r="K3" s="50" t="s">
        <v>36</v>
      </c>
      <c r="L3" s="50" t="s">
        <v>36</v>
      </c>
      <c r="M3" s="50" t="s">
        <v>36</v>
      </c>
      <c r="N3" s="50" t="s">
        <v>36</v>
      </c>
      <c r="O3" s="50" t="s">
        <v>36</v>
      </c>
      <c r="P3" s="50" t="s">
        <v>36</v>
      </c>
      <c r="Q3" s="50" t="s">
        <v>36</v>
      </c>
      <c r="R3" s="50" t="s">
        <v>36</v>
      </c>
      <c r="S3" s="50" t="s">
        <v>207</v>
      </c>
    </row>
    <row r="4" spans="1:19" ht="22.5" customHeight="1">
      <c r="A4" s="51" t="s">
        <v>40</v>
      </c>
      <c r="B4" s="52">
        <v>1100</v>
      </c>
      <c r="C4" s="53" t="s">
        <v>41</v>
      </c>
      <c r="D4" s="53" t="s">
        <v>39</v>
      </c>
      <c r="E4" s="53" t="s">
        <v>366</v>
      </c>
      <c r="F4" s="299" t="s">
        <v>36</v>
      </c>
      <c r="G4" s="53" t="s">
        <v>472</v>
      </c>
      <c r="H4" s="128" t="s">
        <v>209</v>
      </c>
      <c r="I4" s="121" t="s">
        <v>222</v>
      </c>
      <c r="J4" s="113" t="s">
        <v>210</v>
      </c>
      <c r="K4" s="55" t="s">
        <v>211</v>
      </c>
      <c r="L4" s="65" t="s">
        <v>369</v>
      </c>
      <c r="M4" s="51" t="s">
        <v>370</v>
      </c>
      <c r="N4" s="55" t="s">
        <v>215</v>
      </c>
      <c r="O4" s="65" t="s">
        <v>223</v>
      </c>
      <c r="P4" s="65" t="s">
        <v>371</v>
      </c>
      <c r="Q4" s="65" t="s">
        <v>268</v>
      </c>
      <c r="R4" s="276" t="s">
        <v>215</v>
      </c>
      <c r="S4" s="280" t="s">
        <v>219</v>
      </c>
    </row>
    <row r="5" spans="1:19" ht="48" customHeight="1">
      <c r="A5" s="235" t="s">
        <v>40</v>
      </c>
      <c r="B5" s="236">
        <v>1100</v>
      </c>
      <c r="C5" s="238" t="s">
        <v>41</v>
      </c>
      <c r="D5" s="238" t="s">
        <v>44</v>
      </c>
      <c r="E5" s="238" t="s">
        <v>372</v>
      </c>
      <c r="F5" s="300" t="s">
        <v>473</v>
      </c>
      <c r="G5" s="238" t="s">
        <v>374</v>
      </c>
      <c r="H5" s="272" t="s">
        <v>221</v>
      </c>
      <c r="I5" s="273" t="s">
        <v>222</v>
      </c>
      <c r="J5" s="243" t="s">
        <v>210</v>
      </c>
      <c r="K5" s="244" t="s">
        <v>211</v>
      </c>
      <c r="L5" s="245" t="s">
        <v>369</v>
      </c>
      <c r="M5" s="235" t="s">
        <v>370</v>
      </c>
      <c r="N5" s="244" t="s">
        <v>215</v>
      </c>
      <c r="O5" s="245" t="s">
        <v>223</v>
      </c>
      <c r="P5" s="245" t="s">
        <v>371</v>
      </c>
      <c r="Q5" s="275" t="s">
        <v>268</v>
      </c>
      <c r="R5" s="289" t="s">
        <v>215</v>
      </c>
      <c r="S5" s="290"/>
    </row>
    <row r="6" spans="1:19" ht="22.5" customHeight="1">
      <c r="A6" s="14" t="s">
        <v>16</v>
      </c>
      <c r="B6" s="10">
        <v>1110</v>
      </c>
      <c r="C6" s="12" t="s">
        <v>48</v>
      </c>
      <c r="D6" s="12" t="s">
        <v>47</v>
      </c>
      <c r="E6" s="9" t="s">
        <v>375</v>
      </c>
      <c r="F6" s="301"/>
      <c r="G6" s="14" t="s">
        <v>474</v>
      </c>
      <c r="H6" s="129" t="s">
        <v>209</v>
      </c>
      <c r="I6" s="122" t="s">
        <v>222</v>
      </c>
      <c r="J6" s="136" t="s">
        <v>210</v>
      </c>
      <c r="K6" s="22" t="s">
        <v>211</v>
      </c>
      <c r="L6" s="197" t="s">
        <v>369</v>
      </c>
      <c r="M6" s="14" t="s">
        <v>370</v>
      </c>
      <c r="N6" s="22" t="s">
        <v>215</v>
      </c>
      <c r="O6" s="291" t="s">
        <v>223</v>
      </c>
      <c r="P6" s="198" t="s">
        <v>371</v>
      </c>
      <c r="Q6" s="190" t="s">
        <v>268</v>
      </c>
      <c r="R6" s="252" t="s">
        <v>215</v>
      </c>
      <c r="S6" s="67" t="s">
        <v>219</v>
      </c>
    </row>
    <row r="7" spans="1:19" ht="54" customHeight="1">
      <c r="A7" s="235" t="s">
        <v>16</v>
      </c>
      <c r="B7" s="236">
        <v>1110</v>
      </c>
      <c r="C7" s="277" t="s">
        <v>48</v>
      </c>
      <c r="D7" s="277" t="s">
        <v>378</v>
      </c>
      <c r="E7" s="238" t="s">
        <v>379</v>
      </c>
      <c r="F7" s="300" t="s">
        <v>475</v>
      </c>
      <c r="G7" s="235" t="s">
        <v>100</v>
      </c>
      <c r="H7" s="272" t="s">
        <v>209</v>
      </c>
      <c r="I7" s="273" t="s">
        <v>222</v>
      </c>
      <c r="J7" s="243" t="s">
        <v>210</v>
      </c>
      <c r="K7" s="244" t="s">
        <v>211</v>
      </c>
      <c r="L7" s="278" t="s">
        <v>369</v>
      </c>
      <c r="M7" s="235" t="s">
        <v>370</v>
      </c>
      <c r="N7" s="244" t="s">
        <v>215</v>
      </c>
      <c r="O7" s="245" t="s">
        <v>268</v>
      </c>
      <c r="P7" s="245" t="s">
        <v>371</v>
      </c>
      <c r="Q7" s="245" t="s">
        <v>268</v>
      </c>
      <c r="R7" s="292"/>
      <c r="S7" s="290"/>
    </row>
    <row r="8" spans="1:19" ht="22.5" customHeight="1">
      <c r="A8" s="14" t="s">
        <v>16</v>
      </c>
      <c r="B8" s="10">
        <v>1120</v>
      </c>
      <c r="C8" s="15" t="s">
        <v>356</v>
      </c>
      <c r="D8" s="9" t="s">
        <v>381</v>
      </c>
      <c r="E8" s="9" t="s">
        <v>382</v>
      </c>
      <c r="F8" s="301" t="s">
        <v>36</v>
      </c>
      <c r="G8" s="14" t="s">
        <v>100</v>
      </c>
      <c r="H8" s="129" t="s">
        <v>209</v>
      </c>
      <c r="I8" s="122" t="s">
        <v>222</v>
      </c>
      <c r="J8" s="136" t="s">
        <v>384</v>
      </c>
      <c r="K8" s="22" t="s">
        <v>211</v>
      </c>
      <c r="L8" s="14" t="s">
        <v>385</v>
      </c>
      <c r="M8" s="14" t="s">
        <v>386</v>
      </c>
      <c r="N8" s="22" t="s">
        <v>215</v>
      </c>
      <c r="O8" s="291" t="s">
        <v>223</v>
      </c>
      <c r="P8" s="198" t="s">
        <v>371</v>
      </c>
      <c r="Q8" s="13" t="s">
        <v>268</v>
      </c>
      <c r="R8" s="22" t="s">
        <v>215</v>
      </c>
      <c r="S8" s="190" t="s">
        <v>240</v>
      </c>
    </row>
    <row r="9" spans="1:19" ht="22.5" customHeight="1">
      <c r="A9" s="14" t="s">
        <v>16</v>
      </c>
      <c r="B9" s="10">
        <v>1120</v>
      </c>
      <c r="C9" s="15" t="s">
        <v>356</v>
      </c>
      <c r="D9" s="9" t="s">
        <v>387</v>
      </c>
      <c r="E9" s="9" t="s">
        <v>388</v>
      </c>
      <c r="F9" s="301" t="s">
        <v>36</v>
      </c>
      <c r="G9" s="14" t="s">
        <v>100</v>
      </c>
      <c r="H9" s="129" t="s">
        <v>209</v>
      </c>
      <c r="I9" s="122" t="s">
        <v>222</v>
      </c>
      <c r="J9" s="136" t="s">
        <v>384</v>
      </c>
      <c r="K9" s="22" t="s">
        <v>211</v>
      </c>
      <c r="L9" s="14" t="s">
        <v>385</v>
      </c>
      <c r="M9" s="14" t="s">
        <v>386</v>
      </c>
      <c r="N9" s="22" t="s">
        <v>215</v>
      </c>
      <c r="O9" s="291" t="s">
        <v>223</v>
      </c>
      <c r="P9" s="198" t="s">
        <v>371</v>
      </c>
      <c r="Q9" s="13" t="s">
        <v>268</v>
      </c>
      <c r="R9" s="260" t="s">
        <v>215</v>
      </c>
      <c r="S9" s="261" t="s">
        <v>240</v>
      </c>
    </row>
    <row r="10" spans="1:19" ht="22.5" customHeight="1">
      <c r="A10" s="235" t="s">
        <v>16</v>
      </c>
      <c r="B10" s="236">
        <v>1120</v>
      </c>
      <c r="C10" s="271" t="s">
        <v>356</v>
      </c>
      <c r="D10" s="238" t="s">
        <v>390</v>
      </c>
      <c r="E10" s="238" t="s">
        <v>391</v>
      </c>
      <c r="F10" s="300" t="s">
        <v>36</v>
      </c>
      <c r="G10" s="235" t="s">
        <v>393</v>
      </c>
      <c r="H10" s="272" t="s">
        <v>221</v>
      </c>
      <c r="I10" s="273" t="s">
        <v>222</v>
      </c>
      <c r="J10" s="243" t="s">
        <v>394</v>
      </c>
      <c r="K10" s="244" t="s">
        <v>211</v>
      </c>
      <c r="L10" s="235" t="s">
        <v>385</v>
      </c>
      <c r="M10" s="235" t="s">
        <v>236</v>
      </c>
      <c r="N10" s="244" t="s">
        <v>215</v>
      </c>
      <c r="O10" s="245" t="s">
        <v>223</v>
      </c>
      <c r="P10" s="198" t="s">
        <v>371</v>
      </c>
      <c r="Q10" s="275" t="s">
        <v>268</v>
      </c>
      <c r="R10" s="293" t="s">
        <v>215</v>
      </c>
      <c r="S10" s="290"/>
    </row>
    <row r="11" spans="1:19" ht="22.5" customHeight="1">
      <c r="A11" s="235" t="s">
        <v>16</v>
      </c>
      <c r="B11" s="236">
        <v>1120</v>
      </c>
      <c r="C11" s="271" t="s">
        <v>356</v>
      </c>
      <c r="D11" s="238" t="s">
        <v>395</v>
      </c>
      <c r="E11" s="238" t="s">
        <v>396</v>
      </c>
      <c r="F11" s="300" t="s">
        <v>476</v>
      </c>
      <c r="G11" s="235" t="s">
        <v>398</v>
      </c>
      <c r="H11" s="272" t="s">
        <v>221</v>
      </c>
      <c r="I11" s="273" t="s">
        <v>222</v>
      </c>
      <c r="J11" s="243" t="s">
        <v>394</v>
      </c>
      <c r="K11" s="244" t="s">
        <v>211</v>
      </c>
      <c r="L11" s="235" t="s">
        <v>385</v>
      </c>
      <c r="M11" s="235" t="s">
        <v>268</v>
      </c>
      <c r="N11" s="244" t="s">
        <v>215</v>
      </c>
      <c r="O11" s="245" t="s">
        <v>223</v>
      </c>
      <c r="P11" s="198" t="s">
        <v>371</v>
      </c>
      <c r="Q11" s="290" t="s">
        <v>268</v>
      </c>
      <c r="R11" s="293" t="s">
        <v>215</v>
      </c>
      <c r="S11" s="290"/>
    </row>
    <row r="12" spans="1:19" ht="22.5" customHeight="1">
      <c r="A12" s="262" t="s">
        <v>40</v>
      </c>
      <c r="B12" s="263">
        <v>1200</v>
      </c>
      <c r="C12" s="206" t="s">
        <v>52</v>
      </c>
      <c r="D12" s="206" t="s">
        <v>51</v>
      </c>
      <c r="E12" s="238" t="s">
        <v>226</v>
      </c>
      <c r="F12" s="302" t="s">
        <v>477</v>
      </c>
      <c r="G12" s="263" t="s">
        <v>54</v>
      </c>
      <c r="H12" s="264" t="s">
        <v>227</v>
      </c>
      <c r="I12" s="265" t="s">
        <v>222</v>
      </c>
      <c r="J12" s="266" t="s">
        <v>228</v>
      </c>
      <c r="K12" s="267" t="s">
        <v>399</v>
      </c>
      <c r="L12" s="262" t="s">
        <v>385</v>
      </c>
      <c r="M12" s="263" t="s">
        <v>236</v>
      </c>
      <c r="N12" s="267" t="s">
        <v>231</v>
      </c>
      <c r="O12" s="268" t="s">
        <v>223</v>
      </c>
      <c r="P12" s="269" t="s">
        <v>371</v>
      </c>
      <c r="Q12" s="270" t="s">
        <v>268</v>
      </c>
      <c r="R12" s="267" t="s">
        <v>231</v>
      </c>
      <c r="S12" s="68" t="s">
        <v>234</v>
      </c>
    </row>
    <row r="13" spans="1:19" ht="22.5" customHeight="1">
      <c r="A13" s="14" t="s">
        <v>16</v>
      </c>
      <c r="B13" s="10">
        <v>1210</v>
      </c>
      <c r="C13" s="15" t="s">
        <v>56</v>
      </c>
      <c r="D13" s="9" t="s">
        <v>55</v>
      </c>
      <c r="E13" s="24" t="s">
        <v>235</v>
      </c>
      <c r="F13" s="301" t="s">
        <v>36</v>
      </c>
      <c r="G13" s="14" t="s">
        <v>58</v>
      </c>
      <c r="H13" s="131" t="s">
        <v>227</v>
      </c>
      <c r="I13" s="124" t="s">
        <v>222</v>
      </c>
      <c r="J13" s="136" t="s">
        <v>228</v>
      </c>
      <c r="K13" s="192" t="s">
        <v>399</v>
      </c>
      <c r="L13" s="14" t="s">
        <v>385</v>
      </c>
      <c r="M13" s="9" t="s">
        <v>236</v>
      </c>
      <c r="N13" s="191" t="s">
        <v>231</v>
      </c>
      <c r="O13" s="291" t="s">
        <v>223</v>
      </c>
      <c r="P13" s="198" t="s">
        <v>371</v>
      </c>
      <c r="Q13" s="13" t="s">
        <v>268</v>
      </c>
      <c r="R13" s="191" t="s">
        <v>231</v>
      </c>
      <c r="S13" s="13" t="s">
        <v>237</v>
      </c>
    </row>
    <row r="14" spans="1:19" ht="22.5" customHeight="1">
      <c r="A14" s="14" t="s">
        <v>16</v>
      </c>
      <c r="B14" s="10">
        <v>1220</v>
      </c>
      <c r="C14" s="9" t="s">
        <v>60</v>
      </c>
      <c r="D14" s="9" t="s">
        <v>59</v>
      </c>
      <c r="E14" s="9" t="s">
        <v>238</v>
      </c>
      <c r="F14" s="301" t="s">
        <v>36</v>
      </c>
      <c r="G14" s="14" t="s">
        <v>62</v>
      </c>
      <c r="H14" s="111" t="s">
        <v>209</v>
      </c>
      <c r="I14" s="23" t="s">
        <v>222</v>
      </c>
      <c r="J14" s="136" t="s">
        <v>210</v>
      </c>
      <c r="K14" s="22" t="s">
        <v>211</v>
      </c>
      <c r="L14" s="14" t="s">
        <v>385</v>
      </c>
      <c r="M14" s="14" t="s">
        <v>400</v>
      </c>
      <c r="N14" s="22" t="s">
        <v>215</v>
      </c>
      <c r="O14" s="291" t="s">
        <v>223</v>
      </c>
      <c r="P14" s="198" t="s">
        <v>371</v>
      </c>
      <c r="Q14" s="13" t="s">
        <v>268</v>
      </c>
      <c r="R14" s="22" t="s">
        <v>215</v>
      </c>
      <c r="S14" s="13" t="s">
        <v>240</v>
      </c>
    </row>
    <row r="15" spans="1:19" ht="22.5" customHeight="1">
      <c r="A15" s="51" t="s">
        <v>40</v>
      </c>
      <c r="B15" s="51">
        <v>1300</v>
      </c>
      <c r="C15" s="51" t="s">
        <v>64</v>
      </c>
      <c r="D15" s="51" t="s">
        <v>63</v>
      </c>
      <c r="E15" s="235" t="s">
        <v>401</v>
      </c>
      <c r="F15" s="303" t="s">
        <v>478</v>
      </c>
      <c r="G15" s="51" t="s">
        <v>479</v>
      </c>
      <c r="H15" s="51" t="s">
        <v>227</v>
      </c>
      <c r="I15" s="51" t="s">
        <v>222</v>
      </c>
      <c r="J15" s="51" t="s">
        <v>242</v>
      </c>
      <c r="K15" s="179" t="s">
        <v>243</v>
      </c>
      <c r="L15" s="51" t="s">
        <v>385</v>
      </c>
      <c r="M15" s="175" t="s">
        <v>480</v>
      </c>
      <c r="N15" s="179" t="s">
        <v>215</v>
      </c>
      <c r="O15" s="180" t="s">
        <v>245</v>
      </c>
      <c r="P15" s="140" t="s">
        <v>259</v>
      </c>
      <c r="Q15" s="51" t="s">
        <v>403</v>
      </c>
      <c r="R15" s="51" t="s">
        <v>247</v>
      </c>
      <c r="S15" s="51" t="s">
        <v>248</v>
      </c>
    </row>
    <row r="16" spans="1:19" ht="22.5" customHeight="1">
      <c r="A16" s="51" t="s">
        <v>40</v>
      </c>
      <c r="B16" s="51">
        <v>1300</v>
      </c>
      <c r="C16" s="51" t="s">
        <v>64</v>
      </c>
      <c r="D16" s="51" t="s">
        <v>67</v>
      </c>
      <c r="E16" s="51" t="s">
        <v>404</v>
      </c>
      <c r="F16" s="303" t="s">
        <v>481</v>
      </c>
      <c r="G16" s="51" t="s">
        <v>69</v>
      </c>
      <c r="H16" s="51" t="s">
        <v>227</v>
      </c>
      <c r="I16" s="51" t="s">
        <v>222</v>
      </c>
      <c r="J16" s="51" t="s">
        <v>250</v>
      </c>
      <c r="K16" s="179" t="s">
        <v>253</v>
      </c>
      <c r="L16" s="51" t="s">
        <v>385</v>
      </c>
      <c r="M16" s="51" t="s">
        <v>406</v>
      </c>
      <c r="N16" s="179" t="s">
        <v>215</v>
      </c>
      <c r="O16" s="180" t="s">
        <v>245</v>
      </c>
      <c r="P16" s="140" t="s">
        <v>259</v>
      </c>
      <c r="Q16" s="51" t="s">
        <v>403</v>
      </c>
      <c r="R16" s="251" t="s">
        <v>247</v>
      </c>
      <c r="S16" s="251" t="s">
        <v>248</v>
      </c>
    </row>
    <row r="17" spans="1:19" ht="22.5" customHeight="1">
      <c r="A17" s="235" t="s">
        <v>40</v>
      </c>
      <c r="B17" s="235">
        <v>1300</v>
      </c>
      <c r="C17" s="235" t="s">
        <v>64</v>
      </c>
      <c r="D17" s="235" t="s">
        <v>70</v>
      </c>
      <c r="E17" s="235" t="s">
        <v>254</v>
      </c>
      <c r="F17" s="304" t="s">
        <v>482</v>
      </c>
      <c r="G17" s="235" t="s">
        <v>72</v>
      </c>
      <c r="H17" s="235" t="s">
        <v>221</v>
      </c>
      <c r="I17" s="235" t="s">
        <v>222</v>
      </c>
      <c r="J17" s="235" t="s">
        <v>255</v>
      </c>
      <c r="K17" s="249" t="s">
        <v>407</v>
      </c>
      <c r="L17" s="235" t="s">
        <v>385</v>
      </c>
      <c r="M17" s="235" t="s">
        <v>406</v>
      </c>
      <c r="N17" s="249" t="s">
        <v>215</v>
      </c>
      <c r="O17" s="235" t="s">
        <v>223</v>
      </c>
      <c r="P17" s="235" t="s">
        <v>408</v>
      </c>
      <c r="Q17" s="250" t="s">
        <v>236</v>
      </c>
      <c r="R17" s="293" t="s">
        <v>215</v>
      </c>
      <c r="S17" s="290"/>
    </row>
    <row r="18" spans="1:19" ht="66" customHeight="1">
      <c r="A18" s="14" t="s">
        <v>16</v>
      </c>
      <c r="B18" s="10">
        <v>1310</v>
      </c>
      <c r="C18" s="9" t="s">
        <v>74</v>
      </c>
      <c r="D18" s="9" t="s">
        <v>73</v>
      </c>
      <c r="E18" s="174" t="s">
        <v>409</v>
      </c>
      <c r="F18" s="305" t="s">
        <v>483</v>
      </c>
      <c r="G18" s="14" t="s">
        <v>411</v>
      </c>
      <c r="H18" s="111" t="s">
        <v>209</v>
      </c>
      <c r="I18" s="23" t="s">
        <v>222</v>
      </c>
      <c r="J18" s="136" t="s">
        <v>228</v>
      </c>
      <c r="K18" s="22" t="s">
        <v>211</v>
      </c>
      <c r="L18" s="14" t="s">
        <v>385</v>
      </c>
      <c r="M18" s="14" t="s">
        <v>386</v>
      </c>
      <c r="N18" s="22" t="s">
        <v>215</v>
      </c>
      <c r="O18" s="291" t="s">
        <v>223</v>
      </c>
      <c r="P18" s="198" t="s">
        <v>371</v>
      </c>
      <c r="Q18" s="13" t="s">
        <v>268</v>
      </c>
      <c r="R18" s="255" t="s">
        <v>215</v>
      </c>
      <c r="S18" s="67" t="s">
        <v>240</v>
      </c>
    </row>
    <row r="19" spans="1:19" ht="57.75" customHeight="1">
      <c r="A19" s="14" t="s">
        <v>16</v>
      </c>
      <c r="B19" s="10">
        <v>1310</v>
      </c>
      <c r="C19" s="19" t="s">
        <v>74</v>
      </c>
      <c r="D19" s="9" t="s">
        <v>77</v>
      </c>
      <c r="E19" s="9" t="s">
        <v>412</v>
      </c>
      <c r="F19" s="305" t="s">
        <v>484</v>
      </c>
      <c r="G19" s="18" t="s">
        <v>485</v>
      </c>
      <c r="H19" s="111" t="s">
        <v>209</v>
      </c>
      <c r="I19" s="23" t="s">
        <v>222</v>
      </c>
      <c r="J19" s="136" t="s">
        <v>262</v>
      </c>
      <c r="K19" s="22" t="s">
        <v>274</v>
      </c>
      <c r="L19" s="14" t="s">
        <v>264</v>
      </c>
      <c r="M19" s="14" t="s">
        <v>214</v>
      </c>
      <c r="N19" s="22" t="s">
        <v>215</v>
      </c>
      <c r="O19" s="13" t="s">
        <v>268</v>
      </c>
      <c r="P19" s="22" t="s">
        <v>215</v>
      </c>
      <c r="Q19" s="254" t="s">
        <v>240</v>
      </c>
      <c r="R19" s="294"/>
      <c r="S19" s="294"/>
    </row>
    <row r="20" spans="1:19" ht="22.5" customHeight="1">
      <c r="A20" s="235" t="s">
        <v>16</v>
      </c>
      <c r="B20" s="236">
        <v>1310</v>
      </c>
      <c r="C20" s="237" t="s">
        <v>74</v>
      </c>
      <c r="D20" s="238" t="s">
        <v>79</v>
      </c>
      <c r="E20" s="238" t="s">
        <v>415</v>
      </c>
      <c r="F20" s="306" t="s">
        <v>486</v>
      </c>
      <c r="G20" s="240" t="s">
        <v>76</v>
      </c>
      <c r="H20" s="241" t="s">
        <v>221</v>
      </c>
      <c r="I20" s="242" t="s">
        <v>222</v>
      </c>
      <c r="J20" s="243" t="s">
        <v>262</v>
      </c>
      <c r="K20" s="244" t="s">
        <v>417</v>
      </c>
      <c r="L20" s="235" t="s">
        <v>264</v>
      </c>
      <c r="M20" s="235" t="s">
        <v>214</v>
      </c>
      <c r="N20" s="244" t="s">
        <v>215</v>
      </c>
      <c r="O20" s="295" t="s">
        <v>223</v>
      </c>
      <c r="P20" s="248" t="s">
        <v>371</v>
      </c>
      <c r="Q20" s="245" t="s">
        <v>268</v>
      </c>
      <c r="R20" s="256" t="s">
        <v>215</v>
      </c>
      <c r="S20" s="258" t="s">
        <v>240</v>
      </c>
    </row>
    <row r="21" spans="1:19" ht="22.5" customHeight="1">
      <c r="A21" s="48" t="s">
        <v>37</v>
      </c>
      <c r="B21" s="49">
        <v>2000</v>
      </c>
      <c r="C21" s="62" t="s">
        <v>88</v>
      </c>
      <c r="D21" s="50" t="s">
        <v>36</v>
      </c>
      <c r="E21" s="50" t="s">
        <v>36</v>
      </c>
      <c r="F21" s="298" t="s">
        <v>36</v>
      </c>
      <c r="G21" s="50" t="s">
        <v>36</v>
      </c>
      <c r="H21" s="127" t="s">
        <v>36</v>
      </c>
      <c r="I21" s="120" t="s">
        <v>222</v>
      </c>
      <c r="J21" s="135" t="s">
        <v>36</v>
      </c>
      <c r="K21" s="50" t="s">
        <v>36</v>
      </c>
      <c r="L21" s="50" t="s">
        <v>36</v>
      </c>
      <c r="M21" s="50" t="s">
        <v>36</v>
      </c>
      <c r="N21" s="50" t="s">
        <v>36</v>
      </c>
      <c r="O21" s="120" t="s">
        <v>36</v>
      </c>
      <c r="P21" s="135" t="s">
        <v>36</v>
      </c>
      <c r="Q21" s="50" t="s">
        <v>36</v>
      </c>
      <c r="R21" s="50" t="s">
        <v>36</v>
      </c>
      <c r="S21" s="50" t="s">
        <v>207</v>
      </c>
    </row>
    <row r="22" spans="1:19" ht="22.5" customHeight="1">
      <c r="A22" s="51" t="s">
        <v>40</v>
      </c>
      <c r="B22" s="53">
        <v>2100</v>
      </c>
      <c r="C22" s="56" t="s">
        <v>90</v>
      </c>
      <c r="D22" s="54" t="s">
        <v>419</v>
      </c>
      <c r="E22" s="53" t="s">
        <v>420</v>
      </c>
      <c r="F22" s="302" t="s">
        <v>487</v>
      </c>
      <c r="G22" s="53" t="s">
        <v>69</v>
      </c>
      <c r="H22" s="132" t="s">
        <v>209</v>
      </c>
      <c r="I22" s="57" t="s">
        <v>222</v>
      </c>
      <c r="J22" s="113" t="s">
        <v>228</v>
      </c>
      <c r="K22" s="55" t="s">
        <v>253</v>
      </c>
      <c r="L22" s="51" t="s">
        <v>385</v>
      </c>
      <c r="M22" s="51" t="s">
        <v>406</v>
      </c>
      <c r="N22" s="55" t="s">
        <v>215</v>
      </c>
      <c r="O22" s="187" t="s">
        <v>280</v>
      </c>
      <c r="P22" s="199" t="s">
        <v>259</v>
      </c>
      <c r="Q22" s="65" t="s">
        <v>403</v>
      </c>
      <c r="R22" s="65" t="s">
        <v>247</v>
      </c>
      <c r="S22" s="65" t="s">
        <v>281</v>
      </c>
    </row>
    <row r="23" spans="1:19" ht="22.5" customHeight="1">
      <c r="A23" s="51" t="s">
        <v>40</v>
      </c>
      <c r="B23" s="53">
        <v>2100</v>
      </c>
      <c r="C23" s="56" t="s">
        <v>90</v>
      </c>
      <c r="D23" s="54" t="s">
        <v>89</v>
      </c>
      <c r="E23" s="53" t="s">
        <v>276</v>
      </c>
      <c r="F23" s="307" t="s">
        <v>488</v>
      </c>
      <c r="G23" s="58" t="s">
        <v>92</v>
      </c>
      <c r="H23" s="132" t="s">
        <v>209</v>
      </c>
      <c r="I23" s="57" t="s">
        <v>222</v>
      </c>
      <c r="J23" s="113" t="s">
        <v>277</v>
      </c>
      <c r="K23" s="193" t="s">
        <v>278</v>
      </c>
      <c r="L23" s="51" t="s">
        <v>385</v>
      </c>
      <c r="M23" s="51" t="s">
        <v>406</v>
      </c>
      <c r="N23" s="55" t="s">
        <v>215</v>
      </c>
      <c r="O23" s="187" t="s">
        <v>280</v>
      </c>
      <c r="P23" s="199" t="s">
        <v>259</v>
      </c>
      <c r="Q23" s="65" t="s">
        <v>403</v>
      </c>
      <c r="R23" s="65" t="s">
        <v>247</v>
      </c>
      <c r="S23" s="65" t="s">
        <v>281</v>
      </c>
    </row>
    <row r="24" spans="1:19" ht="22.5" customHeight="1">
      <c r="A24" s="51" t="s">
        <v>40</v>
      </c>
      <c r="B24" s="53">
        <v>2100</v>
      </c>
      <c r="C24" s="56" t="s">
        <v>90</v>
      </c>
      <c r="D24" s="54" t="s">
        <v>93</v>
      </c>
      <c r="E24" s="53" t="s">
        <v>282</v>
      </c>
      <c r="F24" s="308" t="s">
        <v>489</v>
      </c>
      <c r="G24" s="58" t="s">
        <v>92</v>
      </c>
      <c r="H24" s="132" t="s">
        <v>209</v>
      </c>
      <c r="I24" s="57" t="s">
        <v>222</v>
      </c>
      <c r="J24" s="113" t="s">
        <v>283</v>
      </c>
      <c r="K24" s="193" t="s">
        <v>278</v>
      </c>
      <c r="L24" s="51" t="s">
        <v>385</v>
      </c>
      <c r="M24" s="51" t="s">
        <v>406</v>
      </c>
      <c r="N24" s="55" t="s">
        <v>215</v>
      </c>
      <c r="O24" s="187" t="s">
        <v>280</v>
      </c>
      <c r="P24" s="199" t="s">
        <v>259</v>
      </c>
      <c r="Q24" s="65" t="s">
        <v>403</v>
      </c>
      <c r="R24" s="65" t="s">
        <v>247</v>
      </c>
      <c r="S24" s="65" t="s">
        <v>281</v>
      </c>
    </row>
    <row r="25" spans="1:19" ht="22.5" customHeight="1">
      <c r="A25" s="51" t="s">
        <v>40</v>
      </c>
      <c r="B25" s="53">
        <v>2100</v>
      </c>
      <c r="C25" s="56" t="s">
        <v>90</v>
      </c>
      <c r="D25" s="54" t="s">
        <v>95</v>
      </c>
      <c r="E25" s="233" t="s">
        <v>490</v>
      </c>
      <c r="F25" s="309" t="s">
        <v>491</v>
      </c>
      <c r="G25" s="53" t="s">
        <v>69</v>
      </c>
      <c r="H25" s="132" t="s">
        <v>227</v>
      </c>
      <c r="I25" s="57" t="s">
        <v>222</v>
      </c>
      <c r="J25" s="57" t="s">
        <v>228</v>
      </c>
      <c r="K25" s="55" t="s">
        <v>253</v>
      </c>
      <c r="L25" s="57" t="s">
        <v>385</v>
      </c>
      <c r="M25" s="51" t="s">
        <v>406</v>
      </c>
      <c r="N25" s="55" t="s">
        <v>215</v>
      </c>
      <c r="O25" s="180" t="s">
        <v>245</v>
      </c>
      <c r="P25" s="199" t="s">
        <v>259</v>
      </c>
      <c r="Q25" s="65" t="s">
        <v>403</v>
      </c>
      <c r="R25" s="65" t="s">
        <v>247</v>
      </c>
      <c r="S25" s="51" t="s">
        <v>248</v>
      </c>
    </row>
    <row r="26" spans="1:19" ht="22.5" customHeight="1">
      <c r="A26" s="14" t="s">
        <v>16</v>
      </c>
      <c r="B26" s="9">
        <v>2110</v>
      </c>
      <c r="C26" s="15" t="s">
        <v>98</v>
      </c>
      <c r="D26" s="11" t="s">
        <v>97</v>
      </c>
      <c r="E26" s="238" t="s">
        <v>422</v>
      </c>
      <c r="F26" s="305" t="s">
        <v>492</v>
      </c>
      <c r="G26" s="18" t="s">
        <v>100</v>
      </c>
      <c r="H26" s="111" t="s">
        <v>209</v>
      </c>
      <c r="I26" s="23" t="s">
        <v>222</v>
      </c>
      <c r="J26" s="137" t="s">
        <v>286</v>
      </c>
      <c r="K26" s="22" t="s">
        <v>253</v>
      </c>
      <c r="L26" s="14" t="s">
        <v>385</v>
      </c>
      <c r="M26" s="14" t="s">
        <v>423</v>
      </c>
      <c r="N26" s="22" t="s">
        <v>215</v>
      </c>
      <c r="O26" s="188" t="s">
        <v>280</v>
      </c>
      <c r="P26" s="198" t="s">
        <v>259</v>
      </c>
      <c r="Q26" s="13" t="s">
        <v>403</v>
      </c>
      <c r="R26" s="13" t="s">
        <v>247</v>
      </c>
      <c r="S26" s="13" t="s">
        <v>281</v>
      </c>
    </row>
    <row r="27" spans="1:19" ht="22.5" customHeight="1">
      <c r="A27" s="14" t="s">
        <v>16</v>
      </c>
      <c r="B27" s="10">
        <v>2110</v>
      </c>
      <c r="C27" s="15" t="s">
        <v>98</v>
      </c>
      <c r="D27" s="9" t="s">
        <v>424</v>
      </c>
      <c r="E27" s="9" t="s">
        <v>425</v>
      </c>
      <c r="F27" s="305" t="s">
        <v>493</v>
      </c>
      <c r="G27" s="18" t="s">
        <v>427</v>
      </c>
      <c r="H27" s="111" t="s">
        <v>209</v>
      </c>
      <c r="I27" s="23" t="s">
        <v>222</v>
      </c>
      <c r="J27" s="136" t="s">
        <v>228</v>
      </c>
      <c r="K27" s="22" t="s">
        <v>211</v>
      </c>
      <c r="L27" s="14" t="s">
        <v>385</v>
      </c>
      <c r="M27" s="14" t="s">
        <v>423</v>
      </c>
      <c r="N27" s="22" t="s">
        <v>215</v>
      </c>
      <c r="O27" s="188" t="s">
        <v>280</v>
      </c>
      <c r="P27" s="198" t="s">
        <v>259</v>
      </c>
      <c r="Q27" s="13" t="s">
        <v>403</v>
      </c>
      <c r="R27" s="261" t="s">
        <v>247</v>
      </c>
      <c r="S27" s="13" t="s">
        <v>281</v>
      </c>
    </row>
    <row r="28" spans="1:19" ht="22.5" customHeight="1">
      <c r="A28" s="235" t="s">
        <v>16</v>
      </c>
      <c r="B28" s="236">
        <v>2110</v>
      </c>
      <c r="C28" s="271" t="s">
        <v>98</v>
      </c>
      <c r="D28" s="238" t="s">
        <v>428</v>
      </c>
      <c r="E28" s="238" t="s">
        <v>494</v>
      </c>
      <c r="F28" s="306" t="s">
        <v>493</v>
      </c>
      <c r="G28" s="240" t="s">
        <v>427</v>
      </c>
      <c r="H28" s="241" t="s">
        <v>209</v>
      </c>
      <c r="I28" s="242" t="s">
        <v>222</v>
      </c>
      <c r="J28" s="243" t="s">
        <v>228</v>
      </c>
      <c r="K28" s="244" t="s">
        <v>211</v>
      </c>
      <c r="L28" s="235" t="s">
        <v>385</v>
      </c>
      <c r="M28" s="235" t="s">
        <v>214</v>
      </c>
      <c r="N28" s="244" t="s">
        <v>215</v>
      </c>
      <c r="O28" s="245" t="s">
        <v>403</v>
      </c>
      <c r="P28" s="245" t="s">
        <v>247</v>
      </c>
      <c r="Q28" s="274" t="s">
        <v>281</v>
      </c>
      <c r="R28" s="290"/>
      <c r="S28" s="292"/>
    </row>
    <row r="29" spans="1:19" ht="22.5" customHeight="1">
      <c r="A29" s="14" t="s">
        <v>16</v>
      </c>
      <c r="B29" s="9">
        <v>2120</v>
      </c>
      <c r="C29" s="15" t="s">
        <v>102</v>
      </c>
      <c r="D29" s="11" t="s">
        <v>101</v>
      </c>
      <c r="E29" s="238" t="s">
        <v>431</v>
      </c>
      <c r="F29" s="305" t="s">
        <v>495</v>
      </c>
      <c r="G29" s="18" t="s">
        <v>100</v>
      </c>
      <c r="H29" s="111" t="s">
        <v>209</v>
      </c>
      <c r="I29" s="23" t="s">
        <v>222</v>
      </c>
      <c r="J29" s="137" t="s">
        <v>432</v>
      </c>
      <c r="K29" s="22" t="s">
        <v>274</v>
      </c>
      <c r="L29" s="14" t="s">
        <v>385</v>
      </c>
      <c r="M29" s="14" t="s">
        <v>423</v>
      </c>
      <c r="N29" s="22" t="s">
        <v>215</v>
      </c>
      <c r="O29" s="188" t="s">
        <v>280</v>
      </c>
      <c r="P29" s="198" t="s">
        <v>259</v>
      </c>
      <c r="Q29" s="13" t="s">
        <v>403</v>
      </c>
      <c r="R29" s="67" t="s">
        <v>247</v>
      </c>
      <c r="S29" s="13" t="s">
        <v>281</v>
      </c>
    </row>
    <row r="30" spans="1:19" ht="22.5" customHeight="1">
      <c r="A30" s="235" t="s">
        <v>16</v>
      </c>
      <c r="B30" s="236">
        <v>2120</v>
      </c>
      <c r="C30" s="271" t="s">
        <v>102</v>
      </c>
      <c r="D30" s="238" t="s">
        <v>433</v>
      </c>
      <c r="E30" s="238" t="s">
        <v>434</v>
      </c>
      <c r="F30" s="306" t="s">
        <v>496</v>
      </c>
      <c r="G30" s="240" t="s">
        <v>411</v>
      </c>
      <c r="H30" s="272" t="s">
        <v>296</v>
      </c>
      <c r="I30" s="273" t="s">
        <v>222</v>
      </c>
      <c r="J30" s="281" t="s">
        <v>436</v>
      </c>
      <c r="K30" s="244" t="s">
        <v>211</v>
      </c>
      <c r="L30" s="235" t="s">
        <v>385</v>
      </c>
      <c r="M30" s="235" t="s">
        <v>423</v>
      </c>
      <c r="N30" s="244" t="s">
        <v>215</v>
      </c>
      <c r="O30" s="245" t="s">
        <v>223</v>
      </c>
      <c r="P30" s="245" t="s">
        <v>247</v>
      </c>
      <c r="Q30" s="13" t="s">
        <v>403</v>
      </c>
      <c r="R30" s="290"/>
      <c r="S30" s="292"/>
    </row>
    <row r="31" spans="1:19" ht="22.5" customHeight="1">
      <c r="A31" s="14" t="s">
        <v>16</v>
      </c>
      <c r="B31" s="10">
        <v>2120</v>
      </c>
      <c r="C31" s="15" t="s">
        <v>102</v>
      </c>
      <c r="D31" s="9" t="s">
        <v>437</v>
      </c>
      <c r="E31" s="238" t="s">
        <v>438</v>
      </c>
      <c r="F31" s="305" t="s">
        <v>497</v>
      </c>
      <c r="G31" s="18" t="s">
        <v>411</v>
      </c>
      <c r="H31" s="129" t="s">
        <v>296</v>
      </c>
      <c r="I31" s="122" t="s">
        <v>222</v>
      </c>
      <c r="J31" s="112" t="s">
        <v>228</v>
      </c>
      <c r="K31" s="22" t="s">
        <v>211</v>
      </c>
      <c r="L31" s="14" t="s">
        <v>385</v>
      </c>
      <c r="M31" s="14" t="s">
        <v>423</v>
      </c>
      <c r="N31" s="22" t="s">
        <v>215</v>
      </c>
      <c r="O31" s="188" t="s">
        <v>280</v>
      </c>
      <c r="P31" s="198" t="s">
        <v>259</v>
      </c>
      <c r="Q31" s="13" t="s">
        <v>403</v>
      </c>
      <c r="R31" s="190" t="s">
        <v>247</v>
      </c>
      <c r="S31" s="13" t="s">
        <v>281</v>
      </c>
    </row>
    <row r="32" spans="1:19" ht="153" customHeight="1">
      <c r="A32" s="51" t="s">
        <v>40</v>
      </c>
      <c r="B32" s="53">
        <v>2200</v>
      </c>
      <c r="C32" s="56" t="s">
        <v>105</v>
      </c>
      <c r="D32" s="54" t="s">
        <v>104</v>
      </c>
      <c r="E32" s="53" t="s">
        <v>440</v>
      </c>
      <c r="F32" s="310" t="s">
        <v>498</v>
      </c>
      <c r="G32" s="53" t="s">
        <v>441</v>
      </c>
      <c r="H32" s="132" t="s">
        <v>209</v>
      </c>
      <c r="I32" s="57" t="s">
        <v>222</v>
      </c>
      <c r="J32" s="113" t="s">
        <v>228</v>
      </c>
      <c r="K32" s="194" t="s">
        <v>442</v>
      </c>
      <c r="L32" s="51" t="s">
        <v>385</v>
      </c>
      <c r="M32" s="51" t="s">
        <v>423</v>
      </c>
      <c r="N32" s="55" t="s">
        <v>215</v>
      </c>
      <c r="O32" s="187" t="s">
        <v>280</v>
      </c>
      <c r="P32" s="199" t="s">
        <v>259</v>
      </c>
      <c r="Q32" s="65" t="s">
        <v>403</v>
      </c>
      <c r="R32" s="65" t="s">
        <v>247</v>
      </c>
      <c r="S32" s="65" t="s">
        <v>281</v>
      </c>
    </row>
    <row r="33" spans="1:19" ht="150" customHeight="1">
      <c r="A33" s="51" t="s">
        <v>40</v>
      </c>
      <c r="B33" s="53">
        <v>2200</v>
      </c>
      <c r="C33" s="56" t="s">
        <v>105</v>
      </c>
      <c r="D33" s="54" t="s">
        <v>108</v>
      </c>
      <c r="E33" s="53" t="s">
        <v>295</v>
      </c>
      <c r="F33" s="307" t="s">
        <v>499</v>
      </c>
      <c r="G33" s="58" t="s">
        <v>92</v>
      </c>
      <c r="H33" s="128" t="s">
        <v>296</v>
      </c>
      <c r="I33" s="121" t="s">
        <v>222</v>
      </c>
      <c r="J33" s="113" t="s">
        <v>297</v>
      </c>
      <c r="K33" s="193" t="s">
        <v>278</v>
      </c>
      <c r="L33" s="51" t="s">
        <v>385</v>
      </c>
      <c r="M33" s="51" t="s">
        <v>298</v>
      </c>
      <c r="N33" s="55" t="s">
        <v>215</v>
      </c>
      <c r="O33" s="187" t="s">
        <v>280</v>
      </c>
      <c r="P33" s="200" t="s">
        <v>259</v>
      </c>
      <c r="Q33" s="65" t="s">
        <v>403</v>
      </c>
      <c r="R33" s="65" t="s">
        <v>247</v>
      </c>
      <c r="S33" s="65" t="s">
        <v>281</v>
      </c>
    </row>
    <row r="34" spans="1:19" ht="22.5" customHeight="1">
      <c r="A34" s="51" t="s">
        <v>40</v>
      </c>
      <c r="B34" s="53">
        <v>2200</v>
      </c>
      <c r="C34" s="56" t="s">
        <v>105</v>
      </c>
      <c r="D34" s="54" t="s">
        <v>110</v>
      </c>
      <c r="E34" s="53" t="s">
        <v>443</v>
      </c>
      <c r="F34" s="307" t="s">
        <v>500</v>
      </c>
      <c r="G34" s="58" t="s">
        <v>92</v>
      </c>
      <c r="H34" s="128" t="s">
        <v>296</v>
      </c>
      <c r="I34" s="121" t="s">
        <v>222</v>
      </c>
      <c r="J34" s="113" t="s">
        <v>297</v>
      </c>
      <c r="K34" s="193" t="s">
        <v>278</v>
      </c>
      <c r="L34" s="51" t="s">
        <v>385</v>
      </c>
      <c r="M34" s="51" t="s">
        <v>298</v>
      </c>
      <c r="N34" s="55" t="s">
        <v>215</v>
      </c>
      <c r="O34" s="187" t="s">
        <v>280</v>
      </c>
      <c r="P34" s="200" t="s">
        <v>259</v>
      </c>
      <c r="Q34" s="65" t="s">
        <v>403</v>
      </c>
      <c r="R34" s="65" t="s">
        <v>247</v>
      </c>
      <c r="S34" s="65" t="s">
        <v>281</v>
      </c>
    </row>
    <row r="35" spans="1:19" ht="22.5" customHeight="1">
      <c r="A35" s="14" t="s">
        <v>16</v>
      </c>
      <c r="B35" s="10">
        <v>2210</v>
      </c>
      <c r="C35" s="15" t="s">
        <v>114</v>
      </c>
      <c r="D35" s="9" t="s">
        <v>113</v>
      </c>
      <c r="E35" s="277" t="s">
        <v>300</v>
      </c>
      <c r="F35" s="305" t="s">
        <v>501</v>
      </c>
      <c r="G35" s="18" t="s">
        <v>100</v>
      </c>
      <c r="H35" s="129" t="s">
        <v>296</v>
      </c>
      <c r="I35" s="122" t="s">
        <v>222</v>
      </c>
      <c r="J35" s="136" t="s">
        <v>297</v>
      </c>
      <c r="K35" s="195" t="s">
        <v>278</v>
      </c>
      <c r="L35" s="9" t="s">
        <v>385</v>
      </c>
      <c r="M35" s="14" t="s">
        <v>423</v>
      </c>
      <c r="N35" s="22" t="s">
        <v>215</v>
      </c>
      <c r="O35" s="188" t="s">
        <v>280</v>
      </c>
      <c r="P35" s="198" t="s">
        <v>259</v>
      </c>
      <c r="Q35" s="13" t="s">
        <v>403</v>
      </c>
      <c r="R35" s="13" t="s">
        <v>247</v>
      </c>
      <c r="S35" s="13" t="s">
        <v>281</v>
      </c>
    </row>
    <row r="36" spans="1:19" ht="22.5" customHeight="1">
      <c r="A36" s="14" t="s">
        <v>16</v>
      </c>
      <c r="B36" s="10">
        <v>2210</v>
      </c>
      <c r="C36" s="15" t="s">
        <v>114</v>
      </c>
      <c r="D36" s="9" t="s">
        <v>445</v>
      </c>
      <c r="E36" s="238" t="s">
        <v>446</v>
      </c>
      <c r="F36" s="305" t="s">
        <v>498</v>
      </c>
      <c r="G36" s="18" t="s">
        <v>448</v>
      </c>
      <c r="H36" s="129" t="s">
        <v>296</v>
      </c>
      <c r="I36" s="122" t="s">
        <v>222</v>
      </c>
      <c r="J36" s="136" t="s">
        <v>293</v>
      </c>
      <c r="K36" s="22" t="s">
        <v>442</v>
      </c>
      <c r="L36" s="14" t="s">
        <v>233</v>
      </c>
      <c r="M36" s="14" t="s">
        <v>423</v>
      </c>
      <c r="N36" s="22" t="s">
        <v>215</v>
      </c>
      <c r="O36" s="188" t="s">
        <v>280</v>
      </c>
      <c r="P36" s="198" t="s">
        <v>259</v>
      </c>
      <c r="Q36" s="13" t="s">
        <v>403</v>
      </c>
      <c r="R36" s="13" t="s">
        <v>247</v>
      </c>
      <c r="S36" s="13" t="s">
        <v>281</v>
      </c>
    </row>
    <row r="37" spans="1:19" ht="22.5" customHeight="1">
      <c r="A37" s="14" t="s">
        <v>16</v>
      </c>
      <c r="B37" s="10">
        <v>2220</v>
      </c>
      <c r="C37" s="15" t="s">
        <v>357</v>
      </c>
      <c r="D37" s="9" t="s">
        <v>449</v>
      </c>
      <c r="E37" s="238" t="s">
        <v>450</v>
      </c>
      <c r="F37" s="305" t="s">
        <v>502</v>
      </c>
      <c r="G37" s="18" t="s">
        <v>448</v>
      </c>
      <c r="H37" s="111" t="s">
        <v>209</v>
      </c>
      <c r="I37" s="23" t="s">
        <v>222</v>
      </c>
      <c r="J37" s="112" t="s">
        <v>293</v>
      </c>
      <c r="K37" s="191" t="s">
        <v>442</v>
      </c>
      <c r="L37" s="14" t="s">
        <v>233</v>
      </c>
      <c r="M37" s="14" t="s">
        <v>236</v>
      </c>
      <c r="N37" s="22" t="s">
        <v>215</v>
      </c>
      <c r="O37" s="188" t="s">
        <v>280</v>
      </c>
      <c r="P37" s="198" t="s">
        <v>259</v>
      </c>
      <c r="Q37" s="13" t="s">
        <v>403</v>
      </c>
      <c r="R37" s="13" t="s">
        <v>247</v>
      </c>
      <c r="S37" s="13" t="s">
        <v>281</v>
      </c>
    </row>
    <row r="38" spans="1:19" ht="22.5" customHeight="1">
      <c r="A38" s="14" t="s">
        <v>16</v>
      </c>
      <c r="B38" s="10">
        <v>2230</v>
      </c>
      <c r="C38" s="15" t="s">
        <v>117</v>
      </c>
      <c r="D38" s="9" t="s">
        <v>116</v>
      </c>
      <c r="E38" s="9" t="s">
        <v>301</v>
      </c>
      <c r="F38" s="301" t="s">
        <v>36</v>
      </c>
      <c r="G38" s="18" t="s">
        <v>503</v>
      </c>
      <c r="H38" s="111" t="s">
        <v>209</v>
      </c>
      <c r="I38" s="23" t="s">
        <v>302</v>
      </c>
      <c r="J38" s="112" t="s">
        <v>293</v>
      </c>
      <c r="K38" s="9" t="s">
        <v>36</v>
      </c>
      <c r="L38" s="14" t="s">
        <v>385</v>
      </c>
      <c r="M38" s="14" t="s">
        <v>423</v>
      </c>
      <c r="N38" s="22" t="s">
        <v>215</v>
      </c>
      <c r="O38" s="188" t="s">
        <v>280</v>
      </c>
      <c r="P38" s="198" t="s">
        <v>259</v>
      </c>
      <c r="Q38" s="13" t="s">
        <v>403</v>
      </c>
      <c r="R38" s="13" t="s">
        <v>247</v>
      </c>
      <c r="S38" s="13" t="s">
        <v>304</v>
      </c>
    </row>
    <row r="39" spans="1:19" ht="22.5" customHeight="1">
      <c r="A39" s="51" t="s">
        <v>40</v>
      </c>
      <c r="B39" s="53">
        <v>2300</v>
      </c>
      <c r="C39" s="54" t="s">
        <v>121</v>
      </c>
      <c r="D39" s="54" t="s">
        <v>120</v>
      </c>
      <c r="E39" s="238" t="s">
        <v>305</v>
      </c>
      <c r="F39" s="307" t="s">
        <v>504</v>
      </c>
      <c r="G39" s="58" t="s">
        <v>123</v>
      </c>
      <c r="H39" s="128" t="s">
        <v>227</v>
      </c>
      <c r="I39" s="121" t="s">
        <v>222</v>
      </c>
      <c r="J39" s="138" t="s">
        <v>306</v>
      </c>
      <c r="K39" s="193" t="s">
        <v>278</v>
      </c>
      <c r="L39" s="51" t="s">
        <v>385</v>
      </c>
      <c r="M39" s="51" t="s">
        <v>298</v>
      </c>
      <c r="N39" s="55" t="s">
        <v>215</v>
      </c>
      <c r="O39" s="187" t="s">
        <v>280</v>
      </c>
      <c r="P39" s="200" t="s">
        <v>259</v>
      </c>
      <c r="Q39" s="65" t="s">
        <v>403</v>
      </c>
      <c r="R39" s="65" t="s">
        <v>247</v>
      </c>
      <c r="S39" s="65" t="s">
        <v>307</v>
      </c>
    </row>
    <row r="40" spans="1:19" ht="22.5" customHeight="1">
      <c r="A40" s="51" t="s">
        <v>40</v>
      </c>
      <c r="B40" s="53">
        <v>2300</v>
      </c>
      <c r="C40" s="54" t="s">
        <v>121</v>
      </c>
      <c r="D40" s="54" t="s">
        <v>452</v>
      </c>
      <c r="E40" s="53" t="s">
        <v>453</v>
      </c>
      <c r="F40" s="311" t="s">
        <v>505</v>
      </c>
      <c r="G40" s="58" t="s">
        <v>92</v>
      </c>
      <c r="H40" s="128" t="s">
        <v>227</v>
      </c>
      <c r="I40" s="121" t="s">
        <v>222</v>
      </c>
      <c r="J40" s="138" t="s">
        <v>306</v>
      </c>
      <c r="K40" s="193" t="s">
        <v>278</v>
      </c>
      <c r="L40" s="51" t="s">
        <v>385</v>
      </c>
      <c r="M40" s="51" t="s">
        <v>298</v>
      </c>
      <c r="N40" s="55" t="s">
        <v>215</v>
      </c>
      <c r="O40" s="187" t="s">
        <v>280</v>
      </c>
      <c r="P40" s="200" t="s">
        <v>259</v>
      </c>
      <c r="Q40" s="65" t="s">
        <v>403</v>
      </c>
      <c r="R40" s="65" t="s">
        <v>247</v>
      </c>
      <c r="S40" s="65" t="s">
        <v>307</v>
      </c>
    </row>
    <row r="41" spans="1:19" ht="22.5" customHeight="1">
      <c r="A41" s="14" t="s">
        <v>16</v>
      </c>
      <c r="B41" s="10">
        <v>2310</v>
      </c>
      <c r="C41" s="9" t="s">
        <v>125</v>
      </c>
      <c r="D41" s="9" t="s">
        <v>124</v>
      </c>
      <c r="E41" s="9" t="s">
        <v>308</v>
      </c>
      <c r="F41" s="301" t="s">
        <v>36</v>
      </c>
      <c r="G41" s="18" t="s">
        <v>506</v>
      </c>
      <c r="H41" s="129" t="s">
        <v>227</v>
      </c>
      <c r="I41" s="122" t="s">
        <v>222</v>
      </c>
      <c r="J41" s="136" t="s">
        <v>228</v>
      </c>
      <c r="K41" s="22" t="s">
        <v>211</v>
      </c>
      <c r="L41" s="14" t="s">
        <v>385</v>
      </c>
      <c r="M41" s="14" t="s">
        <v>386</v>
      </c>
      <c r="N41" s="22" t="s">
        <v>215</v>
      </c>
      <c r="O41" s="151" t="s">
        <v>223</v>
      </c>
      <c r="P41" s="198" t="s">
        <v>259</v>
      </c>
      <c r="Q41" s="13" t="s">
        <v>403</v>
      </c>
      <c r="R41" s="260" t="s">
        <v>215</v>
      </c>
      <c r="S41" s="13" t="s">
        <v>240</v>
      </c>
    </row>
    <row r="42" spans="1:19" ht="22.5" customHeight="1">
      <c r="A42" s="235" t="s">
        <v>16</v>
      </c>
      <c r="B42" s="236">
        <v>2310</v>
      </c>
      <c r="C42" s="238" t="s">
        <v>125</v>
      </c>
      <c r="D42" s="238" t="s">
        <v>128</v>
      </c>
      <c r="E42" s="238" t="s">
        <v>310</v>
      </c>
      <c r="F42" s="300" t="s">
        <v>507</v>
      </c>
      <c r="G42" s="240" t="s">
        <v>508</v>
      </c>
      <c r="H42" s="272" t="s">
        <v>221</v>
      </c>
      <c r="I42" s="273" t="s">
        <v>222</v>
      </c>
      <c r="J42" s="243" t="s">
        <v>311</v>
      </c>
      <c r="K42" s="244" t="s">
        <v>211</v>
      </c>
      <c r="L42" s="235" t="s">
        <v>385</v>
      </c>
      <c r="M42" s="235" t="s">
        <v>386</v>
      </c>
      <c r="N42" s="244" t="s">
        <v>215</v>
      </c>
      <c r="O42" s="235" t="s">
        <v>223</v>
      </c>
      <c r="P42" s="248" t="s">
        <v>371</v>
      </c>
      <c r="Q42" s="274" t="s">
        <v>240</v>
      </c>
      <c r="R42" s="284" t="s">
        <v>215</v>
      </c>
      <c r="S42" s="292"/>
    </row>
    <row r="43" spans="1:19" ht="22.5" customHeight="1">
      <c r="A43" s="14" t="s">
        <v>16</v>
      </c>
      <c r="B43" s="10">
        <v>2320</v>
      </c>
      <c r="C43" s="15" t="s">
        <v>20</v>
      </c>
      <c r="D43" s="9" t="s">
        <v>131</v>
      </c>
      <c r="E43" s="9" t="s">
        <v>313</v>
      </c>
      <c r="F43" s="305" t="s">
        <v>509</v>
      </c>
      <c r="G43" s="18" t="s">
        <v>100</v>
      </c>
      <c r="H43" s="129" t="s">
        <v>227</v>
      </c>
      <c r="I43" s="122" t="s">
        <v>222</v>
      </c>
      <c r="J43" s="136" t="s">
        <v>228</v>
      </c>
      <c r="K43" s="191" t="s">
        <v>442</v>
      </c>
      <c r="L43" s="14" t="s">
        <v>385</v>
      </c>
      <c r="M43" s="14" t="s">
        <v>386</v>
      </c>
      <c r="N43" s="22" t="s">
        <v>215</v>
      </c>
      <c r="O43" s="151" t="s">
        <v>223</v>
      </c>
      <c r="P43" s="198" t="s">
        <v>259</v>
      </c>
      <c r="Q43" s="13" t="s">
        <v>403</v>
      </c>
      <c r="R43" s="252" t="s">
        <v>215</v>
      </c>
      <c r="S43" s="13" t="s">
        <v>240</v>
      </c>
    </row>
    <row r="44" spans="1:19" ht="22.5" customHeight="1">
      <c r="A44" s="51" t="s">
        <v>40</v>
      </c>
      <c r="B44" s="53">
        <v>2400</v>
      </c>
      <c r="C44" s="54" t="s">
        <v>134</v>
      </c>
      <c r="D44" s="54" t="s">
        <v>133</v>
      </c>
      <c r="E44" s="95" t="s">
        <v>455</v>
      </c>
      <c r="F44" s="312" t="s">
        <v>510</v>
      </c>
      <c r="G44" s="51" t="s">
        <v>511</v>
      </c>
      <c r="H44" s="132" t="s">
        <v>209</v>
      </c>
      <c r="I44" s="57" t="s">
        <v>302</v>
      </c>
      <c r="J44" s="113" t="s">
        <v>315</v>
      </c>
      <c r="K44" s="55" t="s">
        <v>316</v>
      </c>
      <c r="L44" s="51" t="s">
        <v>385</v>
      </c>
      <c r="M44" s="51" t="s">
        <v>406</v>
      </c>
      <c r="N44" s="55" t="s">
        <v>215</v>
      </c>
      <c r="O44" s="187" t="s">
        <v>317</v>
      </c>
      <c r="P44" s="200" t="s">
        <v>259</v>
      </c>
      <c r="Q44" s="65" t="s">
        <v>403</v>
      </c>
      <c r="R44" s="65" t="s">
        <v>247</v>
      </c>
      <c r="S44" s="65" t="s">
        <v>248</v>
      </c>
    </row>
    <row r="45" spans="1:19" ht="123.75" customHeight="1">
      <c r="A45" s="51" t="s">
        <v>40</v>
      </c>
      <c r="B45" s="53">
        <v>2400</v>
      </c>
      <c r="C45" s="54" t="s">
        <v>134</v>
      </c>
      <c r="D45" s="54" t="s">
        <v>137</v>
      </c>
      <c r="E45" s="59" t="s">
        <v>456</v>
      </c>
      <c r="F45" s="312" t="s">
        <v>512</v>
      </c>
      <c r="G45" s="51" t="s">
        <v>511</v>
      </c>
      <c r="H45" s="132" t="s">
        <v>209</v>
      </c>
      <c r="I45" s="57" t="s">
        <v>302</v>
      </c>
      <c r="J45" s="113" t="s">
        <v>315</v>
      </c>
      <c r="K45" s="55" t="s">
        <v>319</v>
      </c>
      <c r="L45" s="51" t="s">
        <v>385</v>
      </c>
      <c r="M45" s="51" t="s">
        <v>406</v>
      </c>
      <c r="N45" s="55" t="s">
        <v>215</v>
      </c>
      <c r="O45" s="187" t="s">
        <v>320</v>
      </c>
      <c r="P45" s="200" t="s">
        <v>259</v>
      </c>
      <c r="Q45" s="65" t="s">
        <v>403</v>
      </c>
      <c r="R45" s="65" t="s">
        <v>247</v>
      </c>
      <c r="S45" s="65" t="s">
        <v>248</v>
      </c>
    </row>
    <row r="46" spans="1:19" ht="22.5" customHeight="1">
      <c r="A46" s="14" t="s">
        <v>16</v>
      </c>
      <c r="B46" s="10">
        <v>2410</v>
      </c>
      <c r="C46" s="9" t="s">
        <v>141</v>
      </c>
      <c r="D46" s="10" t="s">
        <v>140</v>
      </c>
      <c r="E46" s="282" t="s">
        <v>321</v>
      </c>
      <c r="F46" s="313" t="s">
        <v>513</v>
      </c>
      <c r="G46" s="14" t="s">
        <v>143</v>
      </c>
      <c r="H46" s="111" t="s">
        <v>209</v>
      </c>
      <c r="I46" s="23" t="s">
        <v>302</v>
      </c>
      <c r="J46" s="136" t="s">
        <v>322</v>
      </c>
      <c r="K46" s="191" t="s">
        <v>316</v>
      </c>
      <c r="L46" s="14" t="s">
        <v>385</v>
      </c>
      <c r="M46" s="14" t="s">
        <v>406</v>
      </c>
      <c r="N46" s="22" t="s">
        <v>215</v>
      </c>
      <c r="O46" s="188" t="s">
        <v>317</v>
      </c>
      <c r="P46" s="198" t="s">
        <v>259</v>
      </c>
      <c r="Q46" s="13" t="s">
        <v>403</v>
      </c>
      <c r="R46" s="13" t="s">
        <v>247</v>
      </c>
      <c r="S46" s="13" t="s">
        <v>248</v>
      </c>
    </row>
    <row r="47" spans="1:19" ht="22.5" customHeight="1">
      <c r="A47" s="14" t="s">
        <v>16</v>
      </c>
      <c r="B47" s="10">
        <v>2410</v>
      </c>
      <c r="C47" s="9" t="s">
        <v>141</v>
      </c>
      <c r="D47" s="10" t="s">
        <v>144</v>
      </c>
      <c r="E47" s="283" t="s">
        <v>323</v>
      </c>
      <c r="F47" s="313" t="s">
        <v>514</v>
      </c>
      <c r="G47" s="14" t="s">
        <v>146</v>
      </c>
      <c r="H47" s="111" t="s">
        <v>209</v>
      </c>
      <c r="I47" s="23" t="s">
        <v>302</v>
      </c>
      <c r="J47" s="136" t="s">
        <v>322</v>
      </c>
      <c r="K47" s="191" t="s">
        <v>319</v>
      </c>
      <c r="L47" s="14" t="s">
        <v>385</v>
      </c>
      <c r="M47" s="14" t="s">
        <v>406</v>
      </c>
      <c r="N47" s="22" t="s">
        <v>215</v>
      </c>
      <c r="O47" s="188" t="s">
        <v>320</v>
      </c>
      <c r="P47" s="198" t="s">
        <v>259</v>
      </c>
      <c r="Q47" s="13" t="s">
        <v>403</v>
      </c>
      <c r="R47" s="13" t="s">
        <v>247</v>
      </c>
      <c r="S47" s="13" t="s">
        <v>248</v>
      </c>
    </row>
    <row r="48" spans="1:19" ht="22.5" customHeight="1">
      <c r="A48" s="14" t="s">
        <v>16</v>
      </c>
      <c r="B48" s="10">
        <v>2420</v>
      </c>
      <c r="C48" s="15" t="s">
        <v>148</v>
      </c>
      <c r="D48" s="9" t="s">
        <v>147</v>
      </c>
      <c r="E48" s="283" t="s">
        <v>324</v>
      </c>
      <c r="F48" s="313" t="s">
        <v>515</v>
      </c>
      <c r="G48" s="14" t="s">
        <v>143</v>
      </c>
      <c r="H48" s="111" t="s">
        <v>209</v>
      </c>
      <c r="I48" s="23" t="s">
        <v>302</v>
      </c>
      <c r="J48" s="136" t="s">
        <v>325</v>
      </c>
      <c r="K48" s="191" t="s">
        <v>316</v>
      </c>
      <c r="L48" s="14" t="s">
        <v>385</v>
      </c>
      <c r="M48" s="14" t="s">
        <v>406</v>
      </c>
      <c r="N48" s="22" t="s">
        <v>215</v>
      </c>
      <c r="O48" s="188" t="s">
        <v>317</v>
      </c>
      <c r="P48" s="198" t="s">
        <v>259</v>
      </c>
      <c r="Q48" s="13" t="s">
        <v>403</v>
      </c>
      <c r="R48" s="13" t="s">
        <v>247</v>
      </c>
      <c r="S48" s="13" t="s">
        <v>248</v>
      </c>
    </row>
    <row r="49" spans="1:19" ht="22.5" customHeight="1">
      <c r="A49" s="14" t="s">
        <v>16</v>
      </c>
      <c r="B49" s="10">
        <v>2420</v>
      </c>
      <c r="C49" s="15" t="s">
        <v>148</v>
      </c>
      <c r="D49" s="9" t="s">
        <v>150</v>
      </c>
      <c r="E49" s="283" t="s">
        <v>326</v>
      </c>
      <c r="F49" s="313" t="s">
        <v>516</v>
      </c>
      <c r="G49" s="14" t="s">
        <v>146</v>
      </c>
      <c r="H49" s="111" t="s">
        <v>209</v>
      </c>
      <c r="I49" s="23" t="s">
        <v>302</v>
      </c>
      <c r="J49" s="136" t="s">
        <v>325</v>
      </c>
      <c r="K49" s="191" t="s">
        <v>319</v>
      </c>
      <c r="L49" s="14" t="s">
        <v>385</v>
      </c>
      <c r="M49" s="14" t="s">
        <v>406</v>
      </c>
      <c r="N49" s="22" t="s">
        <v>215</v>
      </c>
      <c r="O49" s="188" t="s">
        <v>320</v>
      </c>
      <c r="P49" s="198" t="s">
        <v>259</v>
      </c>
      <c r="Q49" s="13" t="s">
        <v>403</v>
      </c>
      <c r="R49" s="13" t="s">
        <v>247</v>
      </c>
      <c r="S49" s="13" t="s">
        <v>248</v>
      </c>
    </row>
    <row r="50" spans="1:19" ht="22.5" customHeight="1">
      <c r="A50" s="14" t="s">
        <v>16</v>
      </c>
      <c r="B50" s="10">
        <v>2430</v>
      </c>
      <c r="C50" s="9" t="s">
        <v>153</v>
      </c>
      <c r="D50" s="9" t="s">
        <v>152</v>
      </c>
      <c r="E50" s="238" t="s">
        <v>327</v>
      </c>
      <c r="F50" s="305" t="s">
        <v>517</v>
      </c>
      <c r="G50" s="14" t="s">
        <v>143</v>
      </c>
      <c r="H50" s="111" t="s">
        <v>209</v>
      </c>
      <c r="I50" s="23" t="s">
        <v>302</v>
      </c>
      <c r="J50" s="136" t="s">
        <v>328</v>
      </c>
      <c r="K50" s="191" t="s">
        <v>316</v>
      </c>
      <c r="L50" s="14" t="s">
        <v>385</v>
      </c>
      <c r="M50" s="14" t="s">
        <v>406</v>
      </c>
      <c r="N50" s="22" t="s">
        <v>215</v>
      </c>
      <c r="O50" s="188" t="s">
        <v>317</v>
      </c>
      <c r="P50" s="198" t="s">
        <v>259</v>
      </c>
      <c r="Q50" s="13" t="s">
        <v>403</v>
      </c>
      <c r="R50" s="13" t="s">
        <v>247</v>
      </c>
      <c r="S50" s="67" t="s">
        <v>248</v>
      </c>
    </row>
    <row r="51" spans="1:19" ht="74.25" customHeight="1">
      <c r="A51" s="14" t="s">
        <v>16</v>
      </c>
      <c r="B51" s="10">
        <v>2430</v>
      </c>
      <c r="C51" s="9" t="s">
        <v>153</v>
      </c>
      <c r="D51" s="9" t="s">
        <v>155</v>
      </c>
      <c r="E51" s="238" t="s">
        <v>329</v>
      </c>
      <c r="F51" s="305" t="s">
        <v>518</v>
      </c>
      <c r="G51" s="14" t="s">
        <v>146</v>
      </c>
      <c r="H51" s="111" t="s">
        <v>209</v>
      </c>
      <c r="I51" s="23" t="s">
        <v>302</v>
      </c>
      <c r="J51" s="136" t="s">
        <v>330</v>
      </c>
      <c r="K51" s="191" t="s">
        <v>319</v>
      </c>
      <c r="L51" s="14" t="s">
        <v>385</v>
      </c>
      <c r="M51" s="14" t="s">
        <v>406</v>
      </c>
      <c r="N51" s="22" t="s">
        <v>215</v>
      </c>
      <c r="O51" s="188" t="s">
        <v>320</v>
      </c>
      <c r="P51" s="198" t="s">
        <v>259</v>
      </c>
      <c r="Q51" s="13" t="s">
        <v>403</v>
      </c>
      <c r="R51" s="13" t="s">
        <v>247</v>
      </c>
      <c r="S51" s="13" t="s">
        <v>248</v>
      </c>
    </row>
    <row r="52" spans="1:19" ht="22.5" customHeight="1">
      <c r="A52" s="48" t="s">
        <v>37</v>
      </c>
      <c r="B52" s="50">
        <v>3000</v>
      </c>
      <c r="C52" s="50" t="s">
        <v>12</v>
      </c>
      <c r="D52" s="50" t="s">
        <v>36</v>
      </c>
      <c r="E52" s="50" t="s">
        <v>36</v>
      </c>
      <c r="F52" s="298" t="s">
        <v>36</v>
      </c>
      <c r="G52" s="48" t="s">
        <v>36</v>
      </c>
      <c r="H52" s="127" t="s">
        <v>36</v>
      </c>
      <c r="I52" s="120" t="s">
        <v>222</v>
      </c>
      <c r="J52" s="139" t="s">
        <v>36</v>
      </c>
      <c r="K52" s="48" t="s">
        <v>36</v>
      </c>
      <c r="L52" s="48" t="s">
        <v>36</v>
      </c>
      <c r="M52" s="48" t="s">
        <v>36</v>
      </c>
      <c r="N52" s="48" t="s">
        <v>36</v>
      </c>
      <c r="O52" s="181" t="s">
        <v>36</v>
      </c>
      <c r="P52" s="139" t="s">
        <v>36</v>
      </c>
      <c r="Q52" s="48" t="s">
        <v>36</v>
      </c>
      <c r="R52" s="48" t="s">
        <v>36</v>
      </c>
      <c r="S52" s="50" t="s">
        <v>207</v>
      </c>
    </row>
    <row r="53" spans="1:19" ht="22.5" customHeight="1">
      <c r="A53" s="51" t="s">
        <v>40</v>
      </c>
      <c r="B53" s="53">
        <v>3100</v>
      </c>
      <c r="C53" s="147" t="s">
        <v>14</v>
      </c>
      <c r="D53" s="147" t="s">
        <v>157</v>
      </c>
      <c r="E53" s="9" t="s">
        <v>457</v>
      </c>
      <c r="F53" s="303" t="s">
        <v>519</v>
      </c>
      <c r="G53" s="51" t="s">
        <v>159</v>
      </c>
      <c r="H53" s="133" t="s">
        <v>332</v>
      </c>
      <c r="I53" s="125" t="s">
        <v>222</v>
      </c>
      <c r="J53" s="140" t="s">
        <v>333</v>
      </c>
      <c r="K53" s="55" t="s">
        <v>399</v>
      </c>
      <c r="L53" s="51" t="s">
        <v>408</v>
      </c>
      <c r="M53" s="51" t="s">
        <v>236</v>
      </c>
      <c r="N53" s="180" t="s">
        <v>231</v>
      </c>
      <c r="O53" s="125" t="s">
        <v>223</v>
      </c>
      <c r="P53" s="140" t="s">
        <v>458</v>
      </c>
      <c r="Q53" s="51" t="s">
        <v>236</v>
      </c>
      <c r="R53" s="51" t="s">
        <v>231</v>
      </c>
      <c r="S53" s="51" t="s">
        <v>459</v>
      </c>
    </row>
    <row r="54" spans="1:19" ht="22.5" customHeight="1">
      <c r="A54" s="51" t="s">
        <v>40</v>
      </c>
      <c r="B54" s="128">
        <v>3100</v>
      </c>
      <c r="C54" s="121" t="s">
        <v>14</v>
      </c>
      <c r="D54" s="146" t="s">
        <v>160</v>
      </c>
      <c r="E54" s="113" t="s">
        <v>460</v>
      </c>
      <c r="F54" s="303" t="s">
        <v>520</v>
      </c>
      <c r="G54" s="51" t="s">
        <v>162</v>
      </c>
      <c r="H54" s="133" t="s">
        <v>209</v>
      </c>
      <c r="I54" s="125" t="s">
        <v>222</v>
      </c>
      <c r="J54" s="140" t="s">
        <v>339</v>
      </c>
      <c r="K54" s="55" t="s">
        <v>399</v>
      </c>
      <c r="L54" s="51" t="s">
        <v>408</v>
      </c>
      <c r="M54" s="51" t="s">
        <v>236</v>
      </c>
      <c r="N54" s="180" t="s">
        <v>231</v>
      </c>
      <c r="O54" s="125" t="s">
        <v>223</v>
      </c>
      <c r="P54" s="140" t="s">
        <v>259</v>
      </c>
      <c r="Q54" s="51" t="s">
        <v>403</v>
      </c>
      <c r="R54" s="51" t="s">
        <v>247</v>
      </c>
      <c r="S54" s="51" t="s">
        <v>240</v>
      </c>
    </row>
    <row r="55" spans="1:19" ht="22.5" customHeight="1">
      <c r="A55" s="14" t="s">
        <v>16</v>
      </c>
      <c r="B55" s="10">
        <v>3110</v>
      </c>
      <c r="C55" s="148" t="s">
        <v>18</v>
      </c>
      <c r="D55" s="149" t="s">
        <v>163</v>
      </c>
      <c r="E55" s="9" t="s">
        <v>461</v>
      </c>
      <c r="F55" s="314" t="s">
        <v>519</v>
      </c>
      <c r="G55" s="18" t="s">
        <v>159</v>
      </c>
      <c r="H55" s="129" t="s">
        <v>332</v>
      </c>
      <c r="I55" s="122" t="s">
        <v>222</v>
      </c>
      <c r="J55" s="136" t="s">
        <v>341</v>
      </c>
      <c r="K55" s="22" t="s">
        <v>399</v>
      </c>
      <c r="L55" s="14" t="s">
        <v>408</v>
      </c>
      <c r="M55" s="14" t="s">
        <v>236</v>
      </c>
      <c r="N55" s="22" t="s">
        <v>231</v>
      </c>
      <c r="O55" s="189" t="s">
        <v>223</v>
      </c>
      <c r="P55" s="198" t="s">
        <v>458</v>
      </c>
      <c r="Q55" s="13" t="s">
        <v>236</v>
      </c>
      <c r="R55" s="22" t="s">
        <v>231</v>
      </c>
      <c r="S55" s="13" t="s">
        <v>459</v>
      </c>
    </row>
    <row r="56" spans="1:19" ht="22.5" customHeight="1">
      <c r="A56" s="14" t="s">
        <v>16</v>
      </c>
      <c r="B56" s="10">
        <v>3120</v>
      </c>
      <c r="C56" s="15" t="s">
        <v>21</v>
      </c>
      <c r="D56" s="9" t="s">
        <v>165</v>
      </c>
      <c r="E56" s="9" t="s">
        <v>462</v>
      </c>
      <c r="F56" s="314" t="s">
        <v>519</v>
      </c>
      <c r="G56" s="18" t="s">
        <v>159</v>
      </c>
      <c r="H56" s="129" t="s">
        <v>332</v>
      </c>
      <c r="I56" s="122" t="s">
        <v>302</v>
      </c>
      <c r="J56" s="136" t="s">
        <v>341</v>
      </c>
      <c r="K56" s="22" t="s">
        <v>399</v>
      </c>
      <c r="L56" s="14" t="s">
        <v>408</v>
      </c>
      <c r="M56" s="14" t="s">
        <v>236</v>
      </c>
      <c r="N56" s="22" t="s">
        <v>231</v>
      </c>
      <c r="O56" s="189" t="s">
        <v>223</v>
      </c>
      <c r="P56" s="198" t="s">
        <v>458</v>
      </c>
      <c r="Q56" s="13" t="s">
        <v>236</v>
      </c>
      <c r="R56" s="22" t="s">
        <v>231</v>
      </c>
      <c r="S56" s="13" t="s">
        <v>459</v>
      </c>
    </row>
    <row r="57" spans="1:19" ht="22.5" customHeight="1">
      <c r="A57" s="51" t="s">
        <v>40</v>
      </c>
      <c r="B57" s="58">
        <v>3200</v>
      </c>
      <c r="C57" s="51" t="s">
        <v>15</v>
      </c>
      <c r="D57" s="51" t="s">
        <v>167</v>
      </c>
      <c r="E57" s="53" t="s">
        <v>343</v>
      </c>
      <c r="F57" s="315" t="s">
        <v>521</v>
      </c>
      <c r="G57" s="52" t="s">
        <v>169</v>
      </c>
      <c r="H57" s="130" t="s">
        <v>227</v>
      </c>
      <c r="I57" s="123" t="s">
        <v>222</v>
      </c>
      <c r="J57" s="113" t="s">
        <v>344</v>
      </c>
      <c r="K57" s="55" t="s">
        <v>345</v>
      </c>
      <c r="L57" s="53" t="s">
        <v>408</v>
      </c>
      <c r="M57" s="53" t="s">
        <v>236</v>
      </c>
      <c r="N57" s="53" t="s">
        <v>36</v>
      </c>
      <c r="O57" s="53" t="s">
        <v>36</v>
      </c>
      <c r="P57" s="53" t="s">
        <v>36</v>
      </c>
      <c r="Q57" s="53" t="s">
        <v>36</v>
      </c>
      <c r="R57" s="53" t="s">
        <v>36</v>
      </c>
      <c r="S57" s="53" t="s">
        <v>463</v>
      </c>
    </row>
    <row r="58" spans="1:19" ht="22.5" customHeight="1">
      <c r="A58" s="14" t="s">
        <v>16</v>
      </c>
      <c r="B58" s="18">
        <v>3210</v>
      </c>
      <c r="C58" s="14" t="s">
        <v>19</v>
      </c>
      <c r="D58" s="9" t="s">
        <v>464</v>
      </c>
      <c r="E58" s="9" t="s">
        <v>465</v>
      </c>
      <c r="F58" s="316" t="s">
        <v>36</v>
      </c>
      <c r="G58" s="10" t="s">
        <v>100</v>
      </c>
      <c r="H58" s="131" t="s">
        <v>209</v>
      </c>
      <c r="I58" s="124" t="s">
        <v>222</v>
      </c>
      <c r="J58" s="136" t="s">
        <v>467</v>
      </c>
      <c r="K58" s="191" t="s">
        <v>211</v>
      </c>
      <c r="L58" s="9" t="s">
        <v>385</v>
      </c>
      <c r="M58" s="13" t="s">
        <v>386</v>
      </c>
      <c r="N58" s="22" t="s">
        <v>215</v>
      </c>
      <c r="O58" s="189" t="s">
        <v>223</v>
      </c>
      <c r="P58" s="198" t="s">
        <v>371</v>
      </c>
      <c r="Q58" s="13" t="s">
        <v>268</v>
      </c>
      <c r="R58" s="22" t="s">
        <v>215</v>
      </c>
      <c r="S58" s="13" t="s">
        <v>240</v>
      </c>
    </row>
    <row r="59" spans="1:19" ht="22.5" customHeight="1">
      <c r="A59" s="14" t="s">
        <v>16</v>
      </c>
      <c r="B59" s="18">
        <v>3220</v>
      </c>
      <c r="C59" s="14" t="s">
        <v>22</v>
      </c>
      <c r="D59" s="9" t="s">
        <v>170</v>
      </c>
      <c r="E59" s="9" t="s">
        <v>347</v>
      </c>
      <c r="F59" s="305" t="s">
        <v>522</v>
      </c>
      <c r="G59" s="10" t="s">
        <v>172</v>
      </c>
      <c r="H59" s="131" t="s">
        <v>209</v>
      </c>
      <c r="I59" s="124" t="s">
        <v>222</v>
      </c>
      <c r="J59" s="136" t="s">
        <v>228</v>
      </c>
      <c r="K59" s="191" t="s">
        <v>211</v>
      </c>
      <c r="L59" s="9" t="s">
        <v>385</v>
      </c>
      <c r="M59" s="13" t="s">
        <v>468</v>
      </c>
      <c r="N59" s="22" t="s">
        <v>215</v>
      </c>
      <c r="O59" s="190" t="s">
        <v>223</v>
      </c>
      <c r="P59" s="13" t="s">
        <v>371</v>
      </c>
      <c r="Q59" s="13" t="s">
        <v>268</v>
      </c>
      <c r="R59" s="22" t="s">
        <v>215</v>
      </c>
      <c r="S59" s="13" t="s">
        <v>240</v>
      </c>
    </row>
  </sheetData>
  <conditionalFormatting sqref="E1:E1048576">
    <cfRule type="duplicateValues" dxfId="0" priority="1"/>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25061-E505-427C-8012-7481CAA272C6}">
  <dimension ref="B1:M39"/>
  <sheetViews>
    <sheetView zoomScale="86" zoomScaleNormal="178" workbookViewId="0">
      <selection activeCell="F14" sqref="F14"/>
    </sheetView>
  </sheetViews>
  <sheetFormatPr defaultColWidth="8.875" defaultRowHeight="15.75" customHeight="1"/>
  <cols>
    <col min="2" max="2" width="3.625" customWidth="1"/>
    <col min="3" max="3" width="13.875" customWidth="1"/>
    <col min="4" max="4" width="16.5" customWidth="1"/>
    <col min="5" max="5" width="7.375" customWidth="1"/>
    <col min="6" max="6" width="23.875" customWidth="1"/>
    <col min="7" max="7" width="18.5" customWidth="1"/>
    <col min="8" max="8" width="7.625" customWidth="1"/>
    <col min="9" max="9" width="10.375" customWidth="1"/>
    <col min="10" max="10" width="7.625" customWidth="1"/>
    <col min="11" max="11" width="18" customWidth="1"/>
    <col min="12" max="12" width="24.25" customWidth="1"/>
    <col min="13" max="13" width="28.5" customWidth="1"/>
  </cols>
  <sheetData>
    <row r="1" spans="2:13" ht="15.6">
      <c r="B1" s="502" t="s">
        <v>173</v>
      </c>
      <c r="C1" s="503"/>
      <c r="D1" s="503"/>
      <c r="E1" s="503"/>
      <c r="F1" s="503"/>
      <c r="G1" s="504"/>
    </row>
    <row r="2" spans="2:13" ht="15.6">
      <c r="B2" s="505" t="s">
        <v>523</v>
      </c>
      <c r="C2" s="506"/>
      <c r="D2" s="506"/>
      <c r="E2" s="506"/>
      <c r="F2" s="506"/>
      <c r="G2" s="507"/>
    </row>
    <row r="3" spans="2:13" ht="15.6">
      <c r="B3" s="505" t="s">
        <v>524</v>
      </c>
      <c r="C3" s="506"/>
      <c r="D3" s="506"/>
      <c r="E3" s="506"/>
      <c r="F3" s="506"/>
      <c r="G3" s="507"/>
    </row>
    <row r="4" spans="2:13" ht="15.6">
      <c r="B4" s="508" t="s">
        <v>3</v>
      </c>
      <c r="C4" s="509"/>
      <c r="D4" s="509"/>
      <c r="E4" s="509"/>
      <c r="F4" s="509"/>
      <c r="G4" s="510"/>
    </row>
    <row r="5" spans="2:13" ht="15.6">
      <c r="B5" s="570" t="s">
        <v>525</v>
      </c>
      <c r="C5" s="571"/>
      <c r="D5" s="571"/>
      <c r="E5" s="571"/>
      <c r="F5" s="571"/>
      <c r="G5" s="572"/>
    </row>
    <row r="6" spans="2:13" ht="15.6">
      <c r="B6" s="508" t="s">
        <v>358</v>
      </c>
      <c r="C6" s="509"/>
      <c r="D6" s="509"/>
      <c r="E6" s="509"/>
      <c r="F6" s="509"/>
      <c r="G6" s="510"/>
    </row>
    <row r="7" spans="2:13" ht="15.6">
      <c r="B7" s="511" t="s">
        <v>526</v>
      </c>
      <c r="C7" s="512"/>
      <c r="D7" s="512"/>
      <c r="E7" s="512"/>
      <c r="F7" s="512"/>
      <c r="G7" s="513"/>
    </row>
    <row r="8" spans="2:13" ht="15.6">
      <c r="B8" s="93"/>
      <c r="C8" s="93"/>
      <c r="D8" s="93"/>
    </row>
    <row r="9" spans="2:13" ht="15.6">
      <c r="B9" s="93"/>
      <c r="C9" s="93"/>
      <c r="D9" s="93"/>
    </row>
    <row r="10" spans="2:13" ht="18.75" customHeight="1">
      <c r="B10" s="501" t="s">
        <v>527</v>
      </c>
      <c r="C10" s="501"/>
      <c r="D10" s="501"/>
      <c r="E10" s="501"/>
      <c r="F10" s="501"/>
      <c r="G10" s="501"/>
      <c r="H10" s="501"/>
      <c r="I10" s="501"/>
      <c r="J10" s="501"/>
      <c r="K10" s="501"/>
    </row>
    <row r="11" spans="2:13" ht="15.75" customHeight="1">
      <c r="B11" s="498" t="s">
        <v>25</v>
      </c>
      <c r="C11" s="499"/>
      <c r="D11" s="500"/>
      <c r="E11" s="494" t="s">
        <v>28</v>
      </c>
      <c r="F11" s="495"/>
      <c r="G11" s="494" t="s">
        <v>528</v>
      </c>
      <c r="H11" s="496"/>
      <c r="I11" s="496"/>
      <c r="J11" s="496"/>
      <c r="K11" s="497"/>
      <c r="L11" s="8"/>
    </row>
    <row r="12" spans="2:13" ht="15.6">
      <c r="B12" s="154" t="s">
        <v>529</v>
      </c>
      <c r="C12" s="144" t="s">
        <v>530</v>
      </c>
      <c r="D12" s="150" t="s">
        <v>189</v>
      </c>
      <c r="E12" s="144" t="s">
        <v>23</v>
      </c>
      <c r="F12" s="144" t="s">
        <v>530</v>
      </c>
      <c r="G12" s="144" t="s">
        <v>531</v>
      </c>
      <c r="H12" s="144" t="s">
        <v>532</v>
      </c>
      <c r="I12" s="144" t="s">
        <v>533</v>
      </c>
      <c r="J12" s="144" t="s">
        <v>534</v>
      </c>
      <c r="K12" s="144" t="s">
        <v>535</v>
      </c>
      <c r="L12" s="8"/>
    </row>
    <row r="13" spans="2:13" ht="108.6">
      <c r="B13" s="176">
        <f>'Core values'!A11</f>
        <v>1</v>
      </c>
      <c r="C13" s="177" t="str">
        <f>'Core values'!C11</f>
        <v>Localization</v>
      </c>
      <c r="D13" s="142" t="str">
        <f>'Log frame'!C17</f>
        <v>Improved commune WASH planning and coordination by local authorities.​</v>
      </c>
      <c r="E13" s="141" t="str">
        <f>'Indicator framework-Initial'!D25</f>
        <v>1200a</v>
      </c>
      <c r="F13" s="142" t="str">
        <f>'Indicator framework-Initial'!E25</f>
        <v>% of approved interventions implemented in alignment with Commune Action Plans</v>
      </c>
      <c r="G13" s="151" t="s">
        <v>536</v>
      </c>
      <c r="H13" s="156">
        <v>0.1</v>
      </c>
      <c r="I13" s="156">
        <v>0.2</v>
      </c>
      <c r="J13" s="156">
        <v>0.4</v>
      </c>
      <c r="K13" s="156" t="s">
        <v>537</v>
      </c>
      <c r="L13" s="43" t="s">
        <v>538</v>
      </c>
    </row>
    <row r="14" spans="2:13" ht="77.45">
      <c r="B14" s="176">
        <v>2</v>
      </c>
      <c r="C14" s="177" t="str">
        <f>'Core values'!C13</f>
        <v>Systematization</v>
      </c>
      <c r="D14" s="142" t="str">
        <f>'Log frame'!D17</f>
        <v>Improved accountability of service providers to users of WASH services.​</v>
      </c>
      <c r="E14" s="143" t="str">
        <f>'Indicator framework-Initial'!D28</f>
        <v>1300a</v>
      </c>
      <c r="F14" s="143" t="str">
        <f>'Indicator framework-Initial'!E28</f>
        <v>% of service providers under HANWASH initiative monitored according to national guidelines</v>
      </c>
      <c r="G14" s="153" t="s">
        <v>539</v>
      </c>
      <c r="H14" s="156">
        <v>0.1</v>
      </c>
      <c r="I14" s="156">
        <v>0.2</v>
      </c>
      <c r="J14" s="156">
        <v>0.5</v>
      </c>
      <c r="K14" s="157" t="s">
        <v>540</v>
      </c>
      <c r="L14" s="43"/>
    </row>
    <row r="15" spans="2:13" s="4" customFormat="1" ht="123.95">
      <c r="B15" s="176">
        <v>3</v>
      </c>
      <c r="C15" s="177" t="str">
        <f>'Core values'!C14</f>
        <v>Impact</v>
      </c>
      <c r="D15" s="142" t="str">
        <f>'Log frame'!E15</f>
        <v>Enhanced household access to and use of sustainable, affordable, and safe water, sanitation and hygiene services.​</v>
      </c>
      <c r="E15" s="142" t="s">
        <v>541</v>
      </c>
      <c r="F15" s="143" t="str">
        <f>"-"&amp;'Indicator framework-Initial'!E37 &amp; CHAR(10)&amp;"-...basic sanitation service" &amp; CHAR(10)&amp;"-...basic hygiene service"</f>
        <v>-% of population in intervention communes with at least basic drinking water service
-...basic sanitation service
-...basic hygiene service</v>
      </c>
      <c r="G15" s="151" t="s">
        <v>542</v>
      </c>
      <c r="H15" s="158" t="s">
        <v>543</v>
      </c>
      <c r="I15" s="145" t="s">
        <v>544</v>
      </c>
      <c r="J15" s="159" t="s">
        <v>545</v>
      </c>
      <c r="K15" s="156" t="str">
        <f>_xlfn.CONCAT("Current + 20 pct points"," (100,000 people)")</f>
        <v>Current + 20 pct points (100,000 people)</v>
      </c>
      <c r="L15" s="43"/>
      <c r="M15"/>
    </row>
    <row r="16" spans="2:13" ht="108.6">
      <c r="B16" s="176">
        <v>4</v>
      </c>
      <c r="C16" s="177" t="str">
        <f>_xlfn.CONCAT('Core values'!C12,", ",'Core values'!C15)</f>
        <v>Collaboration, Commitment</v>
      </c>
      <c r="D16" s="142" t="str">
        <f>'Log frame'!I17</f>
        <v>Increased government and non-government funding in alignment with HANWASH Core Values.</v>
      </c>
      <c r="E16" s="141" t="str">
        <f>'Indicator framework-Initial'!D67</f>
        <v>3100a</v>
      </c>
      <c r="F16" s="142" t="str">
        <f>'Indicator framework-Initial'!E67</f>
        <v>Cumulative amount of money committed in alignment with HANWASH Core Values</v>
      </c>
      <c r="G16" s="142" t="s">
        <v>546</v>
      </c>
      <c r="H16" s="158" t="s">
        <v>547</v>
      </c>
      <c r="I16" s="145" t="s">
        <v>548</v>
      </c>
      <c r="J16" s="159" t="s">
        <v>549</v>
      </c>
      <c r="K16" s="156" t="s">
        <v>550</v>
      </c>
      <c r="L16" s="8"/>
    </row>
    <row r="17" spans="2:8" s="4" customFormat="1" ht="15.6">
      <c r="D17" s="152"/>
      <c r="E17" s="152"/>
      <c r="F17" s="152"/>
      <c r="H17" s="152"/>
    </row>
    <row r="18" spans="2:8" ht="15.6">
      <c r="B18" s="155" t="s">
        <v>551</v>
      </c>
    </row>
    <row r="19" spans="2:8" ht="15.6">
      <c r="B19" t="s">
        <v>552</v>
      </c>
    </row>
    <row r="20" spans="2:8" ht="15.6">
      <c r="B20" t="s">
        <v>553</v>
      </c>
      <c r="C20" s="285"/>
    </row>
    <row r="21" spans="2:8" ht="15.6">
      <c r="B21" s="285" t="s">
        <v>554</v>
      </c>
    </row>
    <row r="22" spans="2:8" ht="15.6">
      <c r="B22" t="s">
        <v>555</v>
      </c>
    </row>
    <row r="23" spans="2:8" ht="15.6"/>
    <row r="24" spans="2:8" ht="15.6">
      <c r="C24" t="s">
        <v>556</v>
      </c>
    </row>
    <row r="25" spans="2:8" ht="15.95">
      <c r="C25" s="318" t="s">
        <v>557</v>
      </c>
    </row>
    <row r="26" spans="2:8" ht="15.6"/>
    <row r="27" spans="2:8" ht="15.6"/>
    <row r="28" spans="2:8" ht="15.6"/>
    <row r="29" spans="2:8" ht="15.6"/>
    <row r="30" spans="2:8" ht="15.6"/>
    <row r="31" spans="2:8" ht="15.6"/>
    <row r="32" spans="2:8" ht="15.6"/>
    <row r="33" ht="15.6"/>
    <row r="34" ht="15.6"/>
    <row r="35" ht="15.6"/>
    <row r="39" ht="15.6"/>
  </sheetData>
  <mergeCells count="11">
    <mergeCell ref="E11:F11"/>
    <mergeCell ref="G11:K11"/>
    <mergeCell ref="B11:D11"/>
    <mergeCell ref="B10:K10"/>
    <mergeCell ref="B1:G1"/>
    <mergeCell ref="B2:G2"/>
    <mergeCell ref="B3:G3"/>
    <mergeCell ref="B4:G4"/>
    <mergeCell ref="B5:G5"/>
    <mergeCell ref="B6:G6"/>
    <mergeCell ref="B7:G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6125C-70CD-C040-B02E-264D176A2485}">
  <sheetPr filterMode="1"/>
  <dimension ref="A1:AI66"/>
  <sheetViews>
    <sheetView zoomScale="95" workbookViewId="0">
      <selection activeCell="D28" sqref="D28"/>
    </sheetView>
  </sheetViews>
  <sheetFormatPr defaultColWidth="9" defaultRowHeight="15.75" customHeight="1"/>
  <cols>
    <col min="1" max="1" width="12.875" customWidth="1"/>
    <col min="2" max="2" width="7.5" customWidth="1"/>
    <col min="3" max="3" width="117.5" bestFit="1" customWidth="1"/>
    <col min="4" max="4" width="42.375" bestFit="1" customWidth="1"/>
    <col min="5" max="5" width="12" customWidth="1"/>
    <col min="6" max="6" width="11.625" customWidth="1"/>
    <col min="7" max="7" width="6.125" customWidth="1"/>
    <col min="8" max="9" width="8" bestFit="1" customWidth="1"/>
    <col min="10" max="10" width="9" customWidth="1"/>
    <col min="11" max="13" width="8" bestFit="1" customWidth="1"/>
    <col min="14" max="14" width="10.625" customWidth="1"/>
    <col min="15" max="15" width="6.375" customWidth="1"/>
    <col min="16" max="17" width="9" customWidth="1"/>
  </cols>
  <sheetData>
    <row r="1" spans="1:15" ht="15.6">
      <c r="A1" s="532" t="s">
        <v>173</v>
      </c>
      <c r="B1" s="533"/>
      <c r="C1" s="534"/>
    </row>
    <row r="2" spans="1:15" ht="15.6">
      <c r="A2" s="535" t="s">
        <v>558</v>
      </c>
      <c r="B2" s="536"/>
      <c r="C2" s="537"/>
    </row>
    <row r="3" spans="1:15" ht="15.6">
      <c r="A3" s="514" t="s">
        <v>559</v>
      </c>
      <c r="B3" s="538"/>
      <c r="C3" s="539"/>
    </row>
    <row r="4" spans="1:15" ht="15.6">
      <c r="A4" s="517" t="s">
        <v>3</v>
      </c>
      <c r="B4" s="515"/>
      <c r="C4" s="516"/>
    </row>
    <row r="5" spans="1:15" ht="15.6">
      <c r="A5" s="540" t="s">
        <v>180</v>
      </c>
      <c r="B5" s="541"/>
      <c r="C5" s="542"/>
    </row>
    <row r="6" spans="1:15" ht="15.6">
      <c r="A6" s="514" t="s">
        <v>358</v>
      </c>
      <c r="B6" s="515"/>
      <c r="C6" s="516"/>
    </row>
    <row r="7" spans="1:15" ht="15.6">
      <c r="A7" s="517" t="s">
        <v>560</v>
      </c>
      <c r="B7" s="515"/>
      <c r="C7" s="516"/>
    </row>
    <row r="8" spans="1:15" ht="15.6">
      <c r="A8" s="518" t="s">
        <v>561</v>
      </c>
      <c r="B8" s="519"/>
      <c r="C8" s="520"/>
    </row>
    <row r="9" spans="1:15" ht="15.6">
      <c r="A9" s="93"/>
    </row>
    <row r="10" spans="1:15" ht="15.6">
      <c r="A10" s="522" t="s">
        <v>355</v>
      </c>
      <c r="B10" s="523"/>
      <c r="C10" s="523"/>
      <c r="D10" s="524"/>
      <c r="E10" s="525" t="s">
        <v>562</v>
      </c>
      <c r="F10" s="526"/>
      <c r="G10" s="526"/>
      <c r="H10" s="526"/>
      <c r="I10" s="526"/>
      <c r="J10" s="526"/>
      <c r="K10" s="526"/>
      <c r="L10" s="526"/>
      <c r="M10" s="526"/>
      <c r="N10" s="526"/>
      <c r="O10" s="527"/>
    </row>
    <row r="11" spans="1:15" ht="15.95" customHeight="1">
      <c r="A11" s="172"/>
      <c r="B11" s="530" t="s">
        <v>28</v>
      </c>
      <c r="C11" s="530"/>
      <c r="D11" s="531"/>
      <c r="E11" s="528" t="s">
        <v>563</v>
      </c>
      <c r="F11" s="521" t="s">
        <v>564</v>
      </c>
      <c r="G11" s="521"/>
      <c r="H11" s="521" t="s">
        <v>565</v>
      </c>
      <c r="I11" s="521"/>
      <c r="J11" s="521" t="s">
        <v>566</v>
      </c>
      <c r="K11" s="521"/>
      <c r="L11" s="521" t="s">
        <v>567</v>
      </c>
      <c r="M11" s="521"/>
      <c r="N11" s="521" t="s">
        <v>568</v>
      </c>
      <c r="O11" s="521"/>
    </row>
    <row r="12" spans="1:15" ht="15.6">
      <c r="A12" s="171" t="s">
        <v>197</v>
      </c>
      <c r="B12" s="105" t="s">
        <v>194</v>
      </c>
      <c r="C12" s="104" t="s">
        <v>9</v>
      </c>
      <c r="D12" s="161" t="s">
        <v>30</v>
      </c>
      <c r="E12" s="529"/>
      <c r="F12" s="210" t="s">
        <v>569</v>
      </c>
      <c r="G12" s="211" t="s">
        <v>570</v>
      </c>
      <c r="H12" s="212" t="s">
        <v>569</v>
      </c>
      <c r="I12" s="211" t="s">
        <v>570</v>
      </c>
      <c r="J12" s="212" t="s">
        <v>569</v>
      </c>
      <c r="K12" s="211" t="s">
        <v>570</v>
      </c>
      <c r="L12" s="212" t="s">
        <v>569</v>
      </c>
      <c r="M12" s="211" t="s">
        <v>570</v>
      </c>
      <c r="N12" s="212" t="s">
        <v>569</v>
      </c>
      <c r="O12" s="213" t="s">
        <v>570</v>
      </c>
    </row>
    <row r="13" spans="1:15" ht="15.6" hidden="1">
      <c r="A13" s="101" t="str">
        <f>IF('Indicator framework-Initial'!I15="","",'Indicator framework-Initial'!I15)</f>
        <v>Mattson</v>
      </c>
      <c r="B13" s="102" t="str">
        <f>IF('Indicator framework-Initial'!D15="","",'Indicator framework-Initial'!D15)</f>
        <v>-</v>
      </c>
      <c r="C13" s="103" t="str">
        <f>IF('Indicator framework-Initial'!E15="","",'Indicator framework-Initial'!E15)</f>
        <v>-</v>
      </c>
      <c r="D13" s="114" t="str">
        <f>IF('Indicator framework-Initial'!G15="","",'Indicator framework-Initial'!G15)</f>
        <v>-</v>
      </c>
      <c r="E13" s="162" t="s">
        <v>36</v>
      </c>
      <c r="F13" s="97" t="s">
        <v>36</v>
      </c>
      <c r="G13" s="91" t="s">
        <v>36</v>
      </c>
      <c r="H13" s="98" t="s">
        <v>36</v>
      </c>
      <c r="I13" s="91" t="s">
        <v>36</v>
      </c>
      <c r="J13" s="98" t="s">
        <v>36</v>
      </c>
      <c r="K13" s="91" t="s">
        <v>36</v>
      </c>
      <c r="L13" s="98" t="s">
        <v>36</v>
      </c>
      <c r="M13" s="91" t="s">
        <v>36</v>
      </c>
      <c r="N13" s="98" t="s">
        <v>36</v>
      </c>
      <c r="O13" s="99" t="s">
        <v>36</v>
      </c>
    </row>
    <row r="14" spans="1:15" ht="15.6" hidden="1">
      <c r="A14" s="101" t="str">
        <f>IF('Indicator framework-Initial'!I16="","",'Indicator framework-Initial'!I16)</f>
        <v>Mattson</v>
      </c>
      <c r="B14" s="102" t="str">
        <f>IF('Indicator framework-Initial'!D16="","",'Indicator framework-Initial'!D16)</f>
        <v>-</v>
      </c>
      <c r="C14" s="103" t="str">
        <f>IF('Indicator framework-Initial'!E16="","",'Indicator framework-Initial'!E16)</f>
        <v>-</v>
      </c>
      <c r="D14" s="114" t="str">
        <f>IF('Indicator framework-Initial'!G16="","",'Indicator framework-Initial'!G16)</f>
        <v>-</v>
      </c>
      <c r="E14" s="162" t="s">
        <v>36</v>
      </c>
      <c r="F14" s="97" t="s">
        <v>36</v>
      </c>
      <c r="G14" s="91" t="s">
        <v>36</v>
      </c>
      <c r="H14" s="98" t="s">
        <v>36</v>
      </c>
      <c r="I14" s="91" t="s">
        <v>36</v>
      </c>
      <c r="J14" s="98" t="s">
        <v>36</v>
      </c>
      <c r="K14" s="91" t="s">
        <v>36</v>
      </c>
      <c r="L14" s="98" t="s">
        <v>36</v>
      </c>
      <c r="M14" s="91" t="s">
        <v>36</v>
      </c>
      <c r="N14" s="98" t="s">
        <v>36</v>
      </c>
      <c r="O14" s="99" t="s">
        <v>36</v>
      </c>
    </row>
    <row r="15" spans="1:15" ht="15.6">
      <c r="A15" s="101" t="str">
        <f>IF('Indicator framework-Initial'!I17="","",'Indicator framework-Initial'!I17)</f>
        <v>Mattson</v>
      </c>
      <c r="B15" s="102" t="str">
        <f>IF('Indicator framework-Initial'!D17="","",'Indicator framework-Initial'!D17)</f>
        <v>1100a</v>
      </c>
      <c r="C15" s="103" t="str">
        <f>IF('Indicator framework-Initial'!E17="","",'Indicator framework-Initial'!E17)</f>
        <v>% of commune WASH events with Rotarian participation</v>
      </c>
      <c r="D15" s="114" t="str">
        <f>IF('Indicator framework-Initial'!G17="","",'Indicator framework-Initial'!G17)</f>
        <v>% of total commune levelWASH events reported</v>
      </c>
      <c r="E15" s="163">
        <v>0.8</v>
      </c>
      <c r="F15" s="201" t="s">
        <v>571</v>
      </c>
      <c r="G15" s="91" t="s">
        <v>572</v>
      </c>
      <c r="H15" s="203" t="s">
        <v>571</v>
      </c>
      <c r="I15" s="91" t="s">
        <v>572</v>
      </c>
      <c r="J15" s="203" t="s">
        <v>571</v>
      </c>
      <c r="K15" s="91" t="s">
        <v>572</v>
      </c>
      <c r="L15" s="203" t="s">
        <v>571</v>
      </c>
      <c r="M15" s="91" t="s">
        <v>572</v>
      </c>
      <c r="N15" s="203" t="s">
        <v>571</v>
      </c>
      <c r="O15" s="99" t="s">
        <v>572</v>
      </c>
    </row>
    <row r="16" spans="1:15" ht="15.6">
      <c r="A16" s="101" t="str">
        <f>IF('Indicator framework-Initial'!I19="","",'Indicator framework-Initial'!I19)</f>
        <v>Mattson</v>
      </c>
      <c r="B16" s="102" t="str">
        <f>IF('Indicator framework-Initial'!D19="","",'Indicator framework-Initial'!D19)</f>
        <v>1110a</v>
      </c>
      <c r="C16" s="103" t="str">
        <f>IF('Indicator framework-Initial'!E19="","",'Indicator framework-Initial'!E19)</f>
        <v># of volunteer hours per month spent by Rotarians in WASH events</v>
      </c>
      <c r="D16" s="114" t="str">
        <f>IF('Indicator framework-Initial'!G19="","",'Indicator framework-Initial'!G19)</f>
        <v>volunteer hours / month</v>
      </c>
      <c r="E16" s="164">
        <f>6*4.25</f>
        <v>25.5</v>
      </c>
      <c r="F16" s="201" t="s">
        <v>571</v>
      </c>
      <c r="G16" s="91" t="s">
        <v>572</v>
      </c>
      <c r="H16" s="203" t="s">
        <v>571</v>
      </c>
      <c r="I16" s="91" t="s">
        <v>572</v>
      </c>
      <c r="J16" s="203" t="s">
        <v>571</v>
      </c>
      <c r="K16" s="91" t="s">
        <v>572</v>
      </c>
      <c r="L16" s="203" t="s">
        <v>571</v>
      </c>
      <c r="M16" s="91" t="s">
        <v>572</v>
      </c>
      <c r="N16" s="203" t="s">
        <v>571</v>
      </c>
      <c r="O16" s="99" t="s">
        <v>572</v>
      </c>
    </row>
    <row r="17" spans="1:15" ht="15.6">
      <c r="A17" s="101" t="str">
        <f>IF('Indicator framework-Initial'!I21="","",'Indicator framework-Initial'!I21)</f>
        <v>Mattson</v>
      </c>
      <c r="B17" s="102" t="str">
        <f>IF('Indicator framework-Initial'!D21="","",'Indicator framework-Initial'!D21)</f>
        <v>1120a</v>
      </c>
      <c r="C17" s="103" t="str">
        <f>IF('Indicator framework-Initial'!E21="","",'Indicator framework-Initial'!E21)</f>
        <v># of ambassadors who have completed training</v>
      </c>
      <c r="D17" s="114" t="str">
        <f>IF('Indicator framework-Initial'!G21="","",'Indicator framework-Initial'!G21)</f>
        <v>people</v>
      </c>
      <c r="E17" s="165">
        <v>22</v>
      </c>
      <c r="F17" s="97" t="s">
        <v>573</v>
      </c>
      <c r="G17" s="91" t="s">
        <v>572</v>
      </c>
      <c r="H17" s="203" t="s">
        <v>571</v>
      </c>
      <c r="I17" s="91" t="s">
        <v>572</v>
      </c>
      <c r="J17" s="203" t="s">
        <v>571</v>
      </c>
      <c r="K17" s="91" t="s">
        <v>572</v>
      </c>
      <c r="L17" s="203" t="s">
        <v>571</v>
      </c>
      <c r="M17" s="91" t="s">
        <v>572</v>
      </c>
      <c r="N17" s="203" t="s">
        <v>571</v>
      </c>
      <c r="O17" s="99" t="s">
        <v>572</v>
      </c>
    </row>
    <row r="18" spans="1:15" ht="15.6">
      <c r="A18" s="101" t="str">
        <f>IF('Indicator framework-Initial'!I22="","",'Indicator framework-Initial'!I22)</f>
        <v>Mattson</v>
      </c>
      <c r="B18" s="102" t="str">
        <f>IF('Indicator framework-Initial'!D22="","",'Indicator framework-Initial'!D22)</f>
        <v>1120b</v>
      </c>
      <c r="C18" s="103" t="str">
        <f>IF('Indicator framework-Initial'!E22="","",'Indicator framework-Initial'!E22)</f>
        <v># of coordinators who have completed training</v>
      </c>
      <c r="D18" s="114" t="str">
        <f>IF('Indicator framework-Initial'!G22="","",'Indicator framework-Initial'!G22)</f>
        <v>people</v>
      </c>
      <c r="E18" s="165">
        <v>9</v>
      </c>
      <c r="F18" s="97" t="s">
        <v>573</v>
      </c>
      <c r="G18" s="91" t="s">
        <v>572</v>
      </c>
      <c r="H18" s="203" t="s">
        <v>571</v>
      </c>
      <c r="I18" s="91" t="s">
        <v>572</v>
      </c>
      <c r="J18" s="203" t="s">
        <v>571</v>
      </c>
      <c r="K18" s="91" t="s">
        <v>572</v>
      </c>
      <c r="L18" s="203" t="s">
        <v>571</v>
      </c>
      <c r="M18" s="91" t="s">
        <v>572</v>
      </c>
      <c r="N18" s="203" t="s">
        <v>571</v>
      </c>
      <c r="O18" s="99" t="s">
        <v>572</v>
      </c>
    </row>
    <row r="19" spans="1:15" ht="15.6">
      <c r="A19" s="101" t="str">
        <f>IF('Indicator framework-Initial'!I25="","",'Indicator framework-Initial'!I25)</f>
        <v>Mattson</v>
      </c>
      <c r="B19" s="102" t="str">
        <f>IF('Indicator framework-Initial'!D25="","",'Indicator framework-Initial'!D25)</f>
        <v>1200a</v>
      </c>
      <c r="C19" s="103" t="str">
        <f>IF('Indicator framework-Initial'!E25="","",'Indicator framework-Initial'!E25)</f>
        <v>% of approved interventions implemented in alignment with Commune Action Plans</v>
      </c>
      <c r="D19" s="114" t="str">
        <f>IF('Indicator framework-Initial'!G25="","",'Indicator framework-Initial'!G25)</f>
        <v>% of implemented activities</v>
      </c>
      <c r="E19" s="163">
        <v>0.9</v>
      </c>
      <c r="F19" s="97" t="str">
        <f>'Performance objectives'!G13</f>
        <v>Commune Action Plans are finalized as necessary</v>
      </c>
      <c r="G19" s="91" t="s">
        <v>572</v>
      </c>
      <c r="H19" s="203" t="s">
        <v>571</v>
      </c>
      <c r="I19" s="91" t="s">
        <v>572</v>
      </c>
      <c r="J19" s="203" t="s">
        <v>571</v>
      </c>
      <c r="K19" s="91" t="s">
        <v>572</v>
      </c>
      <c r="L19" s="203" t="s">
        <v>571</v>
      </c>
      <c r="M19" s="91" t="s">
        <v>572</v>
      </c>
      <c r="N19" s="178">
        <v>0.9</v>
      </c>
      <c r="O19" s="99" t="s">
        <v>572</v>
      </c>
    </row>
    <row r="20" spans="1:15" ht="15.6">
      <c r="A20" s="101" t="str">
        <f>IF('Indicator framework-Initial'!I26="","",'Indicator framework-Initial'!I26)</f>
        <v>Mattson</v>
      </c>
      <c r="B20" s="102" t="str">
        <f>IF('Indicator framework-Initial'!D26="","",'Indicator framework-Initial'!D26)</f>
        <v>1210a</v>
      </c>
      <c r="C20" s="103" t="str">
        <f>IF('Indicator framework-Initial'!E26="","",'Indicator framework-Initial'!E26)</f>
        <v># of communes with action plans that explicitly include each W,S,H,WRM aspect (water, sanitation, hygiene, water resources management)</v>
      </c>
      <c r="D20" s="114" t="str">
        <f>IF('Indicator framework-Initial'!G26="","",'Indicator framework-Initial'!G26)</f>
        <v>communes</v>
      </c>
      <c r="E20" s="165">
        <v>5</v>
      </c>
      <c r="F20" s="97" t="str">
        <f>'Performance objectives'!G14</f>
        <v>mWater platform fully operational</v>
      </c>
      <c r="G20" s="91" t="s">
        <v>572</v>
      </c>
      <c r="H20" s="203" t="s">
        <v>571</v>
      </c>
      <c r="I20" s="91" t="s">
        <v>572</v>
      </c>
      <c r="J20" s="203" t="s">
        <v>571</v>
      </c>
      <c r="K20" s="91" t="s">
        <v>572</v>
      </c>
      <c r="L20" s="203" t="s">
        <v>571</v>
      </c>
      <c r="M20" s="91" t="s">
        <v>572</v>
      </c>
      <c r="N20" s="203" t="s">
        <v>571</v>
      </c>
      <c r="O20" s="99" t="s">
        <v>572</v>
      </c>
    </row>
    <row r="21" spans="1:15" ht="15.6">
      <c r="A21" s="101" t="str">
        <f>IF('Indicator framework-Initial'!I27="","",'Indicator framework-Initial'!I27)</f>
        <v>Mattson</v>
      </c>
      <c r="B21" s="102" t="str">
        <f>IF('Indicator framework-Initial'!D27="","",'Indicator framework-Initial'!D27)</f>
        <v>1220a</v>
      </c>
      <c r="C21" s="103" t="str">
        <f>IF('Indicator framework-Initial'!E27="","",'Indicator framework-Initial'!E27)</f>
        <v># of WASH planning and coordination events with DINEPA and municipal officials</v>
      </c>
      <c r="D21" s="114" t="str">
        <f>IF('Indicator framework-Initial'!G27="","",'Indicator framework-Initial'!G27)</f>
        <v>events/month</v>
      </c>
      <c r="E21" s="164">
        <v>5</v>
      </c>
      <c r="F21" s="201" t="s">
        <v>571</v>
      </c>
      <c r="G21" s="91" t="s">
        <v>572</v>
      </c>
      <c r="H21" s="203" t="s">
        <v>571</v>
      </c>
      <c r="I21" s="91" t="s">
        <v>572</v>
      </c>
      <c r="J21" s="203" t="s">
        <v>571</v>
      </c>
      <c r="K21" s="91" t="s">
        <v>572</v>
      </c>
      <c r="L21" s="203" t="s">
        <v>571</v>
      </c>
      <c r="M21" s="91" t="s">
        <v>572</v>
      </c>
      <c r="N21" s="203" t="s">
        <v>571</v>
      </c>
      <c r="O21" s="99" t="s">
        <v>572</v>
      </c>
    </row>
    <row r="22" spans="1:15" ht="15.6">
      <c r="A22" s="101" t="str">
        <f>IF('Indicator framework-Initial'!I28="","",'Indicator framework-Initial'!I28)</f>
        <v>Mattson</v>
      </c>
      <c r="B22" s="102" t="str">
        <f>IF('Indicator framework-Initial'!D28="","",'Indicator framework-Initial'!D28)</f>
        <v>1300a</v>
      </c>
      <c r="C22" s="103" t="str">
        <f>IF('Indicator framework-Initial'!E28="","",'Indicator framework-Initial'!E28)</f>
        <v>% of service providers under HANWASH initiative monitored according to national guidelines</v>
      </c>
      <c r="D22" s="114" t="str">
        <f>IF('Indicator framework-Initial'!G28="","",'Indicator framework-Initial'!G28)</f>
        <v>% of the total number of service providers which received the HANWASH intervention in the target communes</v>
      </c>
      <c r="E22" s="163">
        <v>1</v>
      </c>
      <c r="F22" s="97" t="s">
        <v>539</v>
      </c>
      <c r="G22" s="91" t="s">
        <v>572</v>
      </c>
      <c r="H22" s="203" t="s">
        <v>571</v>
      </c>
      <c r="I22" s="91" t="s">
        <v>572</v>
      </c>
      <c r="J22" s="203" t="s">
        <v>571</v>
      </c>
      <c r="K22" s="91" t="s">
        <v>572</v>
      </c>
      <c r="L22" s="203" t="s">
        <v>571</v>
      </c>
      <c r="M22" s="91" t="s">
        <v>572</v>
      </c>
      <c r="N22" s="178">
        <v>1</v>
      </c>
      <c r="O22" s="99" t="s">
        <v>572</v>
      </c>
    </row>
    <row r="23" spans="1:15" ht="15.6">
      <c r="A23" s="101" t="str">
        <f>IF('Indicator framework-Initial'!I29="","",'Indicator framework-Initial'!I29)</f>
        <v>Mattson</v>
      </c>
      <c r="B23" s="102" t="str">
        <f>IF('Indicator framework-Initial'!D29="","",'Indicator framework-Initial'!D29)</f>
        <v>1300b</v>
      </c>
      <c r="C23" s="103" t="str">
        <f>IF('Indicator framework-Initial'!E29="","",'Indicator framework-Initial'!E29)</f>
        <v>% of intervention service providers with accountability structures in place</v>
      </c>
      <c r="D23" s="114" t="str">
        <f>IF('Indicator framework-Initial'!G29="","",'Indicator framework-Initial'!G29)</f>
        <v>% of intervention water points</v>
      </c>
      <c r="E23" s="163">
        <v>0.75</v>
      </c>
      <c r="F23" s="201" t="s">
        <v>571</v>
      </c>
      <c r="G23" s="91" t="s">
        <v>572</v>
      </c>
      <c r="H23" s="203" t="s">
        <v>571</v>
      </c>
      <c r="I23" s="91" t="s">
        <v>572</v>
      </c>
      <c r="J23" s="203" t="s">
        <v>571</v>
      </c>
      <c r="K23" s="91" t="s">
        <v>572</v>
      </c>
      <c r="L23" s="203" t="s">
        <v>571</v>
      </c>
      <c r="M23" s="91" t="s">
        <v>572</v>
      </c>
      <c r="N23" s="203" t="s">
        <v>571</v>
      </c>
      <c r="O23" s="99" t="s">
        <v>572</v>
      </c>
    </row>
    <row r="24" spans="1:15" ht="15.6">
      <c r="A24" s="101" t="str">
        <f>IF('Indicator framework-Initial'!I31="","",'Indicator framework-Initial'!I31)</f>
        <v>Mattson</v>
      </c>
      <c r="B24" s="102" t="str">
        <f>IF('Indicator framework-Initial'!D31="","",'Indicator framework-Initial'!D31)</f>
        <v>1310a</v>
      </c>
      <c r="C24" s="103" t="str">
        <f>IF('Indicator framework-Initial'!E31="","",'Indicator framework-Initial'!E31)</f>
        <v># of intervention water systems regularly reporting data</v>
      </c>
      <c r="D24" s="114" t="str">
        <f>IF('Indicator framework-Initial'!G31="","",'Indicator framework-Initial'!G31)</f>
        <v>water systems</v>
      </c>
      <c r="E24" s="165">
        <v>5</v>
      </c>
      <c r="F24" s="201" t="s">
        <v>571</v>
      </c>
      <c r="G24" s="91" t="s">
        <v>572</v>
      </c>
      <c r="H24" s="203" t="s">
        <v>571</v>
      </c>
      <c r="I24" s="91" t="s">
        <v>572</v>
      </c>
      <c r="J24" s="203" t="s">
        <v>571</v>
      </c>
      <c r="K24" s="91" t="s">
        <v>572</v>
      </c>
      <c r="L24" s="203" t="s">
        <v>571</v>
      </c>
      <c r="M24" s="91" t="s">
        <v>572</v>
      </c>
      <c r="N24" s="203" t="s">
        <v>571</v>
      </c>
      <c r="O24" s="99" t="s">
        <v>572</v>
      </c>
    </row>
    <row r="25" spans="1:15" ht="15.6">
      <c r="A25" s="101" t="str">
        <f>IF('Indicator framework-Initial'!I33="","",'Indicator framework-Initial'!I33)</f>
        <v>Mattson</v>
      </c>
      <c r="B25" s="102" t="str">
        <f>IF('Indicator framework-Initial'!D33="","",'Indicator framework-Initial'!D33)</f>
        <v>1310c</v>
      </c>
      <c r="C25" s="103" t="str">
        <f>IF('Indicator framework-Initial'!E33="","",'Indicator framework-Initial'!E33)</f>
        <v>Average response time to resolve customer complaints</v>
      </c>
      <c r="D25" s="114" t="str">
        <f>IF('Indicator framework-Initial'!G33="","",'Indicator framework-Initial'!G33)</f>
        <v>Days</v>
      </c>
      <c r="E25" s="163">
        <v>0.8</v>
      </c>
      <c r="F25" s="201" t="s">
        <v>571</v>
      </c>
      <c r="G25" s="91" t="s">
        <v>572</v>
      </c>
      <c r="H25" s="203" t="s">
        <v>571</v>
      </c>
      <c r="I25" s="91" t="s">
        <v>572</v>
      </c>
      <c r="J25" s="203" t="s">
        <v>571</v>
      </c>
      <c r="K25" s="91" t="s">
        <v>572</v>
      </c>
      <c r="L25" s="203" t="s">
        <v>571</v>
      </c>
      <c r="M25" s="91" t="s">
        <v>572</v>
      </c>
      <c r="N25" s="203" t="s">
        <v>571</v>
      </c>
      <c r="O25" s="99" t="s">
        <v>572</v>
      </c>
    </row>
    <row r="26" spans="1:15" ht="15.6">
      <c r="A26" s="101" t="str">
        <f>IF('Indicator framework-Initial'!I34="","",'Indicator framework-Initial'!I34)</f>
        <v>Mattson</v>
      </c>
      <c r="B26" s="102" t="str">
        <f>IF('Indicator framework-Initial'!D34="","",'Indicator framework-Initial'!D34)</f>
        <v>1320a</v>
      </c>
      <c r="C26" s="103" t="str">
        <f>IF('Indicator framework-Initial'!E34="","",'Indicator framework-Initial'!E34)</f>
        <v># of communes which have held an annual service provider review with key stakeholders in the last year</v>
      </c>
      <c r="D26" s="114" t="str">
        <f>IF('Indicator framework-Initial'!G34="","",'Indicator framework-Initial'!G34)</f>
        <v>communes</v>
      </c>
      <c r="E26" s="165">
        <v>5</v>
      </c>
      <c r="F26" s="201" t="s">
        <v>571</v>
      </c>
      <c r="G26" s="91" t="s">
        <v>572</v>
      </c>
      <c r="H26" s="203" t="s">
        <v>571</v>
      </c>
      <c r="I26" s="91" t="s">
        <v>572</v>
      </c>
      <c r="J26" s="203" t="s">
        <v>571</v>
      </c>
      <c r="K26" s="91" t="s">
        <v>572</v>
      </c>
      <c r="L26" s="203" t="s">
        <v>571</v>
      </c>
      <c r="M26" s="91" t="s">
        <v>572</v>
      </c>
      <c r="N26" s="203" t="s">
        <v>571</v>
      </c>
      <c r="O26" s="99" t="s">
        <v>572</v>
      </c>
    </row>
    <row r="27" spans="1:15" ht="15.75" hidden="1" customHeight="1">
      <c r="A27" s="101" t="str">
        <f>IF('Indicator framework-Initial'!I35="","",'Indicator framework-Initial'!I35)</f>
        <v>Mattson</v>
      </c>
      <c r="B27" s="102" t="str">
        <f>IF('Indicator framework-Initial'!D35="","",'Indicator framework-Initial'!D35)</f>
        <v>-</v>
      </c>
      <c r="C27" s="103" t="str">
        <f>IF('Indicator framework-Initial'!E35="","",'Indicator framework-Initial'!E35)</f>
        <v>-</v>
      </c>
      <c r="D27" s="114" t="str">
        <f>IF('Indicator framework-Initial'!G35="","",'Indicator framework-Initial'!G35)</f>
        <v>-</v>
      </c>
      <c r="E27" s="162" t="s">
        <v>36</v>
      </c>
      <c r="F27" s="97" t="s">
        <v>36</v>
      </c>
      <c r="G27" s="91" t="s">
        <v>36</v>
      </c>
      <c r="H27" s="98" t="s">
        <v>36</v>
      </c>
      <c r="I27" s="91" t="s">
        <v>36</v>
      </c>
      <c r="J27" s="98" t="s">
        <v>36</v>
      </c>
      <c r="K27" s="91" t="s">
        <v>36</v>
      </c>
      <c r="L27" s="98" t="s">
        <v>36</v>
      </c>
      <c r="M27" s="91" t="s">
        <v>36</v>
      </c>
      <c r="N27" s="98" t="s">
        <v>36</v>
      </c>
      <c r="O27" s="91" t="s">
        <v>36</v>
      </c>
    </row>
    <row r="28" spans="1:15" ht="15.6">
      <c r="A28" s="101" t="str">
        <f>IF('Indicator framework-Initial'!I36="","",'Indicator framework-Initial'!I36)</f>
        <v>Mattson</v>
      </c>
      <c r="B28" s="102" t="str">
        <f>IF('Indicator framework-Initial'!D36="","",'Indicator framework-Initial'!D36)</f>
        <v>2100a</v>
      </c>
      <c r="C28" s="103" t="str">
        <f>IF('Indicator framework-Initial'!E36="","",'Indicator framework-Initial'!E36)</f>
        <v>% of intervention water points which are functioning and potable</v>
      </c>
      <c r="D28" s="114" t="str">
        <f>IF('Indicator framework-Initial'!G36="","",'Indicator framework-Initial'!G36)</f>
        <v>% of intervention water points</v>
      </c>
      <c r="E28" s="163">
        <v>0.75</v>
      </c>
      <c r="F28" s="207">
        <v>0.9</v>
      </c>
      <c r="G28" s="208" t="s">
        <v>572</v>
      </c>
      <c r="H28" s="209">
        <v>0.85</v>
      </c>
      <c r="I28" s="208" t="s">
        <v>572</v>
      </c>
      <c r="J28" s="209">
        <v>0.8</v>
      </c>
      <c r="K28" s="208" t="s">
        <v>572</v>
      </c>
      <c r="L28" s="209">
        <v>0.8</v>
      </c>
      <c r="M28" s="208" t="s">
        <v>572</v>
      </c>
      <c r="N28" s="209">
        <v>0.75</v>
      </c>
      <c r="O28" s="99" t="s">
        <v>572</v>
      </c>
    </row>
    <row r="29" spans="1:15" ht="15.6">
      <c r="A29" s="101" t="str">
        <f>IF('Indicator framework-Initial'!I37="","",'Indicator framework-Initial'!I37)</f>
        <v>Mattson</v>
      </c>
      <c r="B29" s="102" t="str">
        <f>IF('Indicator framework-Initial'!D37="","",'Indicator framework-Initial'!D37)</f>
        <v>2100b</v>
      </c>
      <c r="C29" s="103" t="str">
        <f>IF('Indicator framework-Initial'!E37="","",'Indicator framework-Initial'!E37)</f>
        <v>% of population in intervention communes with at least basic drinking water service</v>
      </c>
      <c r="D29" s="114" t="str">
        <f>IF('Indicator framework-Initial'!G37="","",'Indicator framework-Initial'!G37)</f>
        <v>% of people in the commune</v>
      </c>
      <c r="E29" s="163">
        <v>0.9</v>
      </c>
      <c r="F29" s="97" t="s">
        <v>542</v>
      </c>
      <c r="G29" s="91" t="s">
        <v>572</v>
      </c>
      <c r="H29" s="203" t="s">
        <v>571</v>
      </c>
      <c r="I29" s="91" t="s">
        <v>572</v>
      </c>
      <c r="J29" s="203" t="s">
        <v>571</v>
      </c>
      <c r="K29" s="91" t="s">
        <v>572</v>
      </c>
      <c r="L29" s="203" t="s">
        <v>571</v>
      </c>
      <c r="M29" s="91" t="s">
        <v>572</v>
      </c>
      <c r="N29" s="203" t="s">
        <v>571</v>
      </c>
      <c r="O29" s="99" t="s">
        <v>572</v>
      </c>
    </row>
    <row r="30" spans="1:15" ht="15.6">
      <c r="A30" s="101" t="str">
        <f>IF('Indicator framework-Initial'!I38="","",'Indicator framework-Initial'!I38)</f>
        <v>Mattson</v>
      </c>
      <c r="B30" s="102" t="str">
        <f>IF('Indicator framework-Initial'!D38="","",'Indicator framework-Initial'!D38)</f>
        <v>2100c</v>
      </c>
      <c r="C30" s="103" t="str">
        <f>IF('Indicator framework-Initial'!E38="","",'Indicator framework-Initial'!E38)</f>
        <v>% of population in intervention communes with safely managed drinking water service</v>
      </c>
      <c r="D30" s="114" t="str">
        <f>IF('Indicator framework-Initial'!G38="","",'Indicator framework-Initial'!G38)</f>
        <v>% of people in the commune</v>
      </c>
      <c r="E30" s="163">
        <v>0.4</v>
      </c>
      <c r="F30" s="201" t="s">
        <v>571</v>
      </c>
      <c r="G30" s="91" t="s">
        <v>572</v>
      </c>
      <c r="H30" s="203" t="s">
        <v>571</v>
      </c>
      <c r="I30" s="91" t="s">
        <v>572</v>
      </c>
      <c r="J30" s="203" t="s">
        <v>571</v>
      </c>
      <c r="K30" s="91" t="s">
        <v>572</v>
      </c>
      <c r="L30" s="203" t="s">
        <v>571</v>
      </c>
      <c r="M30" s="91" t="s">
        <v>572</v>
      </c>
      <c r="N30" s="203" t="s">
        <v>571</v>
      </c>
      <c r="O30" s="99" t="s">
        <v>572</v>
      </c>
    </row>
    <row r="31" spans="1:15" ht="15.6">
      <c r="A31" s="101" t="str">
        <f>IF('Indicator framework-Initial'!I40="","",'Indicator framework-Initial'!I40)</f>
        <v>Mattson</v>
      </c>
      <c r="B31" s="102" t="str">
        <f>IF('Indicator framework-Initial'!D40="","",'Indicator framework-Initial'!D40)</f>
        <v>2110a</v>
      </c>
      <c r="C31" s="103" t="str">
        <f>IF('Indicator framework-Initial'!E40="","",'Indicator framework-Initial'!E40)</f>
        <v># of people in intervention communes with access to basic drinking water service through community managed water points</v>
      </c>
      <c r="D31" s="114" t="str">
        <f>IF('Indicator framework-Initial'!G40="","",'Indicator framework-Initial'!G40)</f>
        <v>people</v>
      </c>
      <c r="E31" s="166">
        <f>E32*250</f>
        <v>100000</v>
      </c>
      <c r="F31" s="97">
        <f>10000</f>
        <v>10000</v>
      </c>
      <c r="G31" s="91" t="s">
        <v>572</v>
      </c>
      <c r="H31" s="203">
        <v>30000</v>
      </c>
      <c r="I31" s="91">
        <v>25000</v>
      </c>
      <c r="J31" s="203">
        <v>60000</v>
      </c>
      <c r="K31" s="91">
        <v>55000</v>
      </c>
      <c r="L31" s="203">
        <v>80000</v>
      </c>
      <c r="M31" s="91">
        <v>83000</v>
      </c>
      <c r="N31" s="98">
        <v>100000</v>
      </c>
      <c r="O31" s="99" t="s">
        <v>572</v>
      </c>
    </row>
    <row r="32" spans="1:15" ht="15.6">
      <c r="A32" s="101" t="str">
        <f>IF('Indicator framework-Initial'!I41="","",'Indicator framework-Initial'!I41)</f>
        <v>Mattson</v>
      </c>
      <c r="B32" s="102" t="str">
        <f>IF('Indicator framework-Initial'!D41="","",'Indicator framework-Initial'!D41)</f>
        <v>2110b</v>
      </c>
      <c r="C32" s="103" t="str">
        <f>IF('Indicator framework-Initial'!E41="","",'Indicator framework-Initial'!E41)</f>
        <v># of community managed water points created</v>
      </c>
      <c r="D32" s="114" t="str">
        <f>IF('Indicator framework-Initial'!G41="","",'Indicator framework-Initial'!G41)</f>
        <v>water points</v>
      </c>
      <c r="E32" s="166">
        <v>400</v>
      </c>
      <c r="F32" s="97">
        <f>F31/250</f>
        <v>40</v>
      </c>
      <c r="G32" s="91" t="s">
        <v>572</v>
      </c>
      <c r="H32" s="203" t="s">
        <v>571</v>
      </c>
      <c r="I32" s="91" t="s">
        <v>572</v>
      </c>
      <c r="J32" s="203" t="s">
        <v>571</v>
      </c>
      <c r="K32" s="91" t="s">
        <v>572</v>
      </c>
      <c r="L32" s="203" t="s">
        <v>571</v>
      </c>
      <c r="M32" s="91" t="s">
        <v>572</v>
      </c>
      <c r="N32" s="98">
        <f>N31/250</f>
        <v>400</v>
      </c>
      <c r="O32" s="99" t="s">
        <v>572</v>
      </c>
    </row>
    <row r="33" spans="1:15" ht="15.6">
      <c r="A33" s="101" t="str">
        <f>IF('Indicator framework-Initial'!I43="","",'Indicator framework-Initial'!I43)</f>
        <v>Mattson</v>
      </c>
      <c r="B33" s="102" t="str">
        <f>IF('Indicator framework-Initial'!D43="","",'Indicator framework-Initial'!D43)</f>
        <v>2120a</v>
      </c>
      <c r="C33" s="103" t="str">
        <f>IF('Indicator framework-Initial'!E43="","",'Indicator framework-Initial'!E43)</f>
        <v># of people added to safely managed drinking water service</v>
      </c>
      <c r="D33" s="114" t="str">
        <f>IF('Indicator framework-Initial'!G43="","",'Indicator framework-Initial'!G43)</f>
        <v>people</v>
      </c>
      <c r="E33" s="166">
        <v>27500</v>
      </c>
      <c r="F33" s="201" t="s">
        <v>571</v>
      </c>
      <c r="G33" s="91" t="s">
        <v>572</v>
      </c>
      <c r="H33" s="203" t="s">
        <v>571</v>
      </c>
      <c r="I33" s="91" t="s">
        <v>572</v>
      </c>
      <c r="J33" s="203" t="s">
        <v>571</v>
      </c>
      <c r="K33" s="91" t="s">
        <v>572</v>
      </c>
      <c r="L33" s="203" t="s">
        <v>571</v>
      </c>
      <c r="M33" s="91" t="s">
        <v>572</v>
      </c>
      <c r="N33" s="203" t="s">
        <v>571</v>
      </c>
      <c r="O33" s="99" t="s">
        <v>572</v>
      </c>
    </row>
    <row r="34" spans="1:15" ht="15.6">
      <c r="A34" s="101" t="str">
        <f>IF('Indicator framework-Initial'!I45="","",'Indicator framework-Initial'!I45)</f>
        <v>Mattson</v>
      </c>
      <c r="B34" s="102" t="str">
        <f>IF('Indicator framework-Initial'!D45="","",'Indicator framework-Initial'!D45)</f>
        <v>2120b</v>
      </c>
      <c r="C34" s="103" t="str">
        <f>IF('Indicator framework-Initial'!E45="","",'Indicator framework-Initial'!E45)</f>
        <v># of professionally managed piped water systems created in the intervention communes</v>
      </c>
      <c r="D34" s="114" t="str">
        <f>IF('Indicator framework-Initial'!G45="","",'Indicator framework-Initial'!G45)</f>
        <v>water systems</v>
      </c>
      <c r="E34" s="165">
        <v>5</v>
      </c>
      <c r="F34" s="201" t="s">
        <v>571</v>
      </c>
      <c r="G34" s="91" t="s">
        <v>572</v>
      </c>
      <c r="H34" s="203" t="s">
        <v>571</v>
      </c>
      <c r="I34" s="91" t="s">
        <v>572</v>
      </c>
      <c r="J34" s="203" t="s">
        <v>571</v>
      </c>
      <c r="K34" s="91" t="s">
        <v>572</v>
      </c>
      <c r="L34" s="203" t="s">
        <v>571</v>
      </c>
      <c r="M34" s="91" t="s">
        <v>572</v>
      </c>
      <c r="N34" s="203" t="s">
        <v>571</v>
      </c>
      <c r="O34" s="99" t="s">
        <v>572</v>
      </c>
    </row>
    <row r="35" spans="1:15" ht="15.6">
      <c r="A35" s="101" t="str">
        <f>IF('Indicator framework-Initial'!I46="","",'Indicator framework-Initial'!I46)</f>
        <v>Mattson</v>
      </c>
      <c r="B35" s="102" t="str">
        <f>IF('Indicator framework-Initial'!D46="","",'Indicator framework-Initial'!D46)</f>
        <v>2200a</v>
      </c>
      <c r="C35" s="103" t="str">
        <f>IF('Indicator framework-Initial'!E46="","",'Indicator framework-Initial'!E46)</f>
        <v>% of intervention communities which are verified ODF</v>
      </c>
      <c r="D35" s="114" t="str">
        <f>IF('Indicator framework-Initial'!G46="","",'Indicator framework-Initial'!G46)</f>
        <v>% of intervention communities</v>
      </c>
      <c r="E35" s="163">
        <v>0.75</v>
      </c>
      <c r="F35" s="201" t="s">
        <v>571</v>
      </c>
      <c r="G35" s="91" t="s">
        <v>572</v>
      </c>
      <c r="H35" s="203" t="s">
        <v>571</v>
      </c>
      <c r="I35" s="91" t="s">
        <v>572</v>
      </c>
      <c r="J35" s="203" t="s">
        <v>571</v>
      </c>
      <c r="K35" s="91" t="s">
        <v>572</v>
      </c>
      <c r="L35" s="203" t="s">
        <v>571</v>
      </c>
      <c r="M35" s="91" t="s">
        <v>572</v>
      </c>
      <c r="N35" s="203" t="s">
        <v>571</v>
      </c>
      <c r="O35" s="99" t="s">
        <v>572</v>
      </c>
    </row>
    <row r="36" spans="1:15" ht="15.6">
      <c r="A36" s="101" t="str">
        <f>IF('Indicator framework-Initial'!I47="","",'Indicator framework-Initial'!I47)</f>
        <v>Mattson</v>
      </c>
      <c r="B36" s="102" t="str">
        <f>IF('Indicator framework-Initial'!D47="","",'Indicator framework-Initial'!D47)</f>
        <v>2200b</v>
      </c>
      <c r="C36" s="103" t="str">
        <f>IF('Indicator framework-Initial'!E47="","",'Indicator framework-Initial'!E47)</f>
        <v>% of population in intervention communes with at least basic sanitation service</v>
      </c>
      <c r="D36" s="114" t="str">
        <f>IF('Indicator framework-Initial'!G47="","",'Indicator framework-Initial'!G47)</f>
        <v>% of people in the commune</v>
      </c>
      <c r="E36" s="163">
        <v>0.85</v>
      </c>
      <c r="F36" s="97" t="s">
        <v>542</v>
      </c>
      <c r="G36" s="91" t="s">
        <v>572</v>
      </c>
      <c r="H36" s="203" t="s">
        <v>571</v>
      </c>
      <c r="I36" s="91" t="s">
        <v>572</v>
      </c>
      <c r="J36" s="203" t="s">
        <v>571</v>
      </c>
      <c r="K36" s="91" t="s">
        <v>572</v>
      </c>
      <c r="L36" s="203" t="s">
        <v>571</v>
      </c>
      <c r="M36" s="91" t="s">
        <v>572</v>
      </c>
      <c r="N36" s="203" t="s">
        <v>571</v>
      </c>
      <c r="O36" s="99" t="s">
        <v>572</v>
      </c>
    </row>
    <row r="37" spans="1:15" ht="15.6">
      <c r="A37" s="101" t="str">
        <f>IF('Indicator framework-Initial'!I48="","",'Indicator framework-Initial'!I48)</f>
        <v>Mattson</v>
      </c>
      <c r="B37" s="102" t="str">
        <f>IF('Indicator framework-Initial'!D48="","",'Indicator framework-Initial'!D48)</f>
        <v>2200c</v>
      </c>
      <c r="C37" s="103" t="str">
        <f>IF('Indicator framework-Initial'!E48="","",'Indicator framework-Initial'!E48)</f>
        <v>% of population in intervention communes with safely managed sanitation service</v>
      </c>
      <c r="D37" s="114" t="str">
        <f>IF('Indicator framework-Initial'!G48="","",'Indicator framework-Initial'!G48)</f>
        <v>% of people in the commune</v>
      </c>
      <c r="E37" s="167" t="s">
        <v>571</v>
      </c>
      <c r="F37" s="201" t="s">
        <v>571</v>
      </c>
      <c r="G37" s="91" t="s">
        <v>572</v>
      </c>
      <c r="H37" s="203" t="s">
        <v>571</v>
      </c>
      <c r="I37" s="91" t="s">
        <v>572</v>
      </c>
      <c r="J37" s="203" t="s">
        <v>571</v>
      </c>
      <c r="K37" s="91" t="s">
        <v>572</v>
      </c>
      <c r="L37" s="203" t="s">
        <v>571</v>
      </c>
      <c r="M37" s="91" t="s">
        <v>572</v>
      </c>
      <c r="N37" s="203" t="s">
        <v>571</v>
      </c>
      <c r="O37" s="99" t="s">
        <v>572</v>
      </c>
    </row>
    <row r="38" spans="1:15" ht="15.6">
      <c r="A38" s="101" t="str">
        <f>IF('Indicator framework-Initial'!I49="","",'Indicator framework-Initial'!I49)</f>
        <v>Mattson</v>
      </c>
      <c r="B38" s="102" t="str">
        <f>IF('Indicator framework-Initial'!D49="","",'Indicator framework-Initial'!D49)</f>
        <v>2210a</v>
      </c>
      <c r="C38" s="103" t="str">
        <f>IF('Indicator framework-Initial'!E49="","",'Indicator framework-Initial'!E49)</f>
        <v># of people added to basic sanitation service in the intervention communes</v>
      </c>
      <c r="D38" s="114" t="str">
        <f>IF('Indicator framework-Initial'!G49="","",'Indicator framework-Initial'!G49)</f>
        <v>people</v>
      </c>
      <c r="E38" s="166">
        <f>E39*250</f>
        <v>75000</v>
      </c>
      <c r="F38" s="97">
        <f>F31</f>
        <v>10000</v>
      </c>
      <c r="G38" s="91" t="s">
        <v>572</v>
      </c>
      <c r="H38" s="203" t="s">
        <v>571</v>
      </c>
      <c r="I38" s="91" t="s">
        <v>572</v>
      </c>
      <c r="J38" s="203" t="s">
        <v>571</v>
      </c>
      <c r="K38" s="91" t="s">
        <v>572</v>
      </c>
      <c r="L38" s="203" t="s">
        <v>571</v>
      </c>
      <c r="M38" s="91" t="s">
        <v>572</v>
      </c>
      <c r="N38" s="98">
        <f>N31</f>
        <v>100000</v>
      </c>
      <c r="O38" s="99" t="s">
        <v>572</v>
      </c>
    </row>
    <row r="39" spans="1:15" ht="15.6">
      <c r="A39" s="101" t="str">
        <f>IF('Indicator framework-Initial'!I50="","",'Indicator framework-Initial'!I50)</f>
        <v>Mattson</v>
      </c>
      <c r="B39" s="102" t="str">
        <f>IF('Indicator framework-Initial'!D50="","",'Indicator framework-Initial'!D50)</f>
        <v>2210b</v>
      </c>
      <c r="C39" s="103" t="str">
        <f>IF('Indicator framework-Initial'!E50="","",'Indicator framework-Initial'!E50)</f>
        <v># of "intervention" communities verified ODF</v>
      </c>
      <c r="D39" s="114" t="str">
        <f>IF('Indicator framework-Initial'!G50="","",'Indicator framework-Initial'!G50)</f>
        <v>communities</v>
      </c>
      <c r="E39" s="166">
        <f>E32*E35</f>
        <v>300</v>
      </c>
      <c r="F39" s="97">
        <f>F38/250</f>
        <v>40</v>
      </c>
      <c r="G39" s="91" t="s">
        <v>572</v>
      </c>
      <c r="H39" s="203" t="s">
        <v>571</v>
      </c>
      <c r="I39" s="91" t="s">
        <v>572</v>
      </c>
      <c r="J39" s="203" t="s">
        <v>571</v>
      </c>
      <c r="K39" s="91" t="s">
        <v>572</v>
      </c>
      <c r="L39" s="203" t="s">
        <v>571</v>
      </c>
      <c r="M39" s="91" t="s">
        <v>572</v>
      </c>
      <c r="N39" s="98">
        <f>N38/250</f>
        <v>400</v>
      </c>
      <c r="O39" s="99" t="s">
        <v>572</v>
      </c>
    </row>
    <row r="40" spans="1:15" ht="15.6">
      <c r="A40" s="101" t="str">
        <f>IF('Indicator framework-Initial'!I51="","",'Indicator framework-Initial'!I51)</f>
        <v>Mattson</v>
      </c>
      <c r="B40" s="102" t="str">
        <f>IF('Indicator framework-Initial'!D51="","",'Indicator framework-Initial'!D51)</f>
        <v>2220a</v>
      </c>
      <c r="C40" s="103" t="str">
        <f>IF('Indicator framework-Initial'!E51="","",'Indicator framework-Initial'!E51)</f>
        <v># of "intervention" communities certified ODF</v>
      </c>
      <c r="D40" s="114" t="str">
        <f>IF('Indicator framework-Initial'!G51="","",'Indicator framework-Initial'!G51)</f>
        <v>communities</v>
      </c>
      <c r="E40" s="166">
        <f>E39*0.75</f>
        <v>225</v>
      </c>
      <c r="F40" s="201" t="s">
        <v>571</v>
      </c>
      <c r="G40" s="91" t="s">
        <v>572</v>
      </c>
      <c r="H40" s="203" t="s">
        <v>571</v>
      </c>
      <c r="I40" s="91" t="s">
        <v>572</v>
      </c>
      <c r="J40" s="203" t="s">
        <v>571</v>
      </c>
      <c r="K40" s="91" t="s">
        <v>572</v>
      </c>
      <c r="L40" s="203" t="s">
        <v>571</v>
      </c>
      <c r="M40" s="91" t="s">
        <v>572</v>
      </c>
      <c r="N40" s="203" t="s">
        <v>571</v>
      </c>
      <c r="O40" s="99" t="s">
        <v>572</v>
      </c>
    </row>
    <row r="41" spans="1:15" ht="15.6" hidden="1">
      <c r="A41" s="101" t="str">
        <f>IF('Indicator framework-Initial'!I52="","",'Indicator framework-Initial'!I52)</f>
        <v>HANWASH - Master</v>
      </c>
      <c r="B41" s="102" t="str">
        <f>IF('Indicator framework-Initial'!D52="","",'Indicator framework-Initial'!D52)</f>
        <v>2230a</v>
      </c>
      <c r="C41" s="103" t="str">
        <f>IF('Indicator framework-Initial'!E52="","",'Indicator framework-Initial'!E52)</f>
        <v># of public latrines constructed</v>
      </c>
      <c r="D41" s="114" t="str">
        <f>IF('Indicator framework-Initial'!G52="","",'Indicator framework-Initial'!G52)</f>
        <v>Public toilet blocks</v>
      </c>
      <c r="E41" s="165">
        <v>300</v>
      </c>
      <c r="F41" s="97">
        <f>0.75*F39</f>
        <v>30</v>
      </c>
      <c r="G41" s="91" t="s">
        <v>571</v>
      </c>
      <c r="H41" s="98" t="s">
        <v>571</v>
      </c>
      <c r="I41" s="91" t="s">
        <v>571</v>
      </c>
      <c r="J41" s="98" t="s">
        <v>571</v>
      </c>
      <c r="K41" s="91" t="s">
        <v>571</v>
      </c>
      <c r="L41" s="98" t="s">
        <v>571</v>
      </c>
      <c r="M41" s="91" t="s">
        <v>571</v>
      </c>
      <c r="N41" s="98">
        <f>0.75*N39</f>
        <v>300</v>
      </c>
      <c r="O41" s="91" t="s">
        <v>571</v>
      </c>
    </row>
    <row r="42" spans="1:15" ht="15.6">
      <c r="A42" s="101" t="str">
        <f>IF('Indicator framework-Initial'!I53="","",'Indicator framework-Initial'!I53)</f>
        <v>Mattson</v>
      </c>
      <c r="B42" s="102" t="str">
        <f>IF('Indicator framework-Initial'!D53="","",'Indicator framework-Initial'!D53)</f>
        <v>2300a</v>
      </c>
      <c r="C42" s="103" t="str">
        <f>IF('Indicator framework-Initial'!E53="","",'Indicator framework-Initial'!E53)</f>
        <v>% of population in intervention communes with at least basic hygiene service</v>
      </c>
      <c r="D42" s="114" t="str">
        <f>IF('Indicator framework-Initial'!G53="","",'Indicator framework-Initial'!G53)</f>
        <v>% of people within intervention communities</v>
      </c>
      <c r="E42" s="166">
        <f>E38</f>
        <v>75000</v>
      </c>
      <c r="F42" s="97" t="s">
        <v>542</v>
      </c>
      <c r="G42" s="91" t="s">
        <v>572</v>
      </c>
      <c r="H42" s="203" t="s">
        <v>571</v>
      </c>
      <c r="I42" s="91" t="s">
        <v>572</v>
      </c>
      <c r="J42" s="203" t="s">
        <v>571</v>
      </c>
      <c r="K42" s="91" t="s">
        <v>572</v>
      </c>
      <c r="L42" s="203" t="s">
        <v>571</v>
      </c>
      <c r="M42" s="91" t="s">
        <v>572</v>
      </c>
      <c r="N42" s="203" t="s">
        <v>571</v>
      </c>
      <c r="O42" s="99" t="s">
        <v>572</v>
      </c>
    </row>
    <row r="43" spans="1:15" ht="15.6">
      <c r="A43" s="101" t="str">
        <f>IF('Indicator framework-Initial'!I54="","",'Indicator framework-Initial'!I54)</f>
        <v>Mattson</v>
      </c>
      <c r="B43" s="102" t="str">
        <f>IF('Indicator framework-Initial'!D54="","",'Indicator framework-Initial'!D54)</f>
        <v>2300b</v>
      </c>
      <c r="C43" s="103" t="str">
        <f>IF('Indicator framework-Initial'!E54="","",'Indicator framework-Initial'!E54)</f>
        <v>% of population in intervention communes with basic hygiene service</v>
      </c>
      <c r="D43" s="114" t="str">
        <f>IF('Indicator framework-Initial'!G54="","",'Indicator framework-Initial'!G54)</f>
        <v>% of people in the commune</v>
      </c>
      <c r="E43" s="166">
        <v>100000</v>
      </c>
      <c r="F43" s="97">
        <f>F31</f>
        <v>10000</v>
      </c>
      <c r="G43" s="91" t="s">
        <v>572</v>
      </c>
      <c r="H43" s="203" t="s">
        <v>571</v>
      </c>
      <c r="I43" s="91" t="s">
        <v>572</v>
      </c>
      <c r="J43" s="203" t="s">
        <v>571</v>
      </c>
      <c r="K43" s="91" t="s">
        <v>572</v>
      </c>
      <c r="L43" s="203" t="s">
        <v>571</v>
      </c>
      <c r="M43" s="91" t="s">
        <v>572</v>
      </c>
      <c r="N43" s="98">
        <f>N31</f>
        <v>100000</v>
      </c>
      <c r="O43" s="99" t="s">
        <v>572</v>
      </c>
    </row>
    <row r="44" spans="1:15" ht="15.6">
      <c r="A44" s="101" t="str">
        <f>IF('Indicator framework-Initial'!I55="","",'Indicator framework-Initial'!I55)</f>
        <v>Mattson</v>
      </c>
      <c r="B44" s="102" t="str">
        <f>IF('Indicator framework-Initial'!D55="","",'Indicator framework-Initial'!D55)</f>
        <v>2310a</v>
      </c>
      <c r="C44" s="103" t="str">
        <f>IF('Indicator framework-Initial'!E55="","",'Indicator framework-Initial'!E55)</f>
        <v># of community animators trained</v>
      </c>
      <c r="D44" s="114" t="str">
        <f>IF('Indicator framework-Initial'!G55="","",'Indicator framework-Initial'!G55)</f>
        <v>animators/coaches</v>
      </c>
      <c r="E44" s="165">
        <v>10</v>
      </c>
      <c r="F44" s="97" t="s">
        <v>573</v>
      </c>
      <c r="G44" s="91" t="s">
        <v>572</v>
      </c>
      <c r="H44" s="203" t="s">
        <v>571</v>
      </c>
      <c r="I44" s="91" t="s">
        <v>572</v>
      </c>
      <c r="J44" s="203" t="s">
        <v>571</v>
      </c>
      <c r="K44" s="91" t="s">
        <v>572</v>
      </c>
      <c r="L44" s="203" t="s">
        <v>571</v>
      </c>
      <c r="M44" s="91" t="s">
        <v>572</v>
      </c>
      <c r="N44" s="203" t="s">
        <v>571</v>
      </c>
      <c r="O44" s="99" t="s">
        <v>572</v>
      </c>
    </row>
    <row r="45" spans="1:15" ht="15.6">
      <c r="A45" s="101" t="str">
        <f>IF('Indicator framework-Initial'!I57="","",'Indicator framework-Initial'!I57)</f>
        <v>Mattson</v>
      </c>
      <c r="B45" s="102" t="str">
        <f>IF('Indicator framework-Initial'!D57="","",'Indicator framework-Initial'!D57)</f>
        <v>2320a</v>
      </c>
      <c r="C45" s="103" t="str">
        <f>IF('Indicator framework-Initial'!E57="","",'Indicator framework-Initial'!E57)</f>
        <v># of people added to basic hygiene service</v>
      </c>
      <c r="D45" s="114" t="str">
        <f>IF('Indicator framework-Initial'!G57="","",'Indicator framework-Initial'!G57)</f>
        <v>people</v>
      </c>
      <c r="E45" s="168">
        <v>5</v>
      </c>
      <c r="F45" s="97" t="s">
        <v>573</v>
      </c>
      <c r="G45" s="91" t="s">
        <v>572</v>
      </c>
      <c r="H45" s="203" t="s">
        <v>571</v>
      </c>
      <c r="I45" s="91" t="s">
        <v>572</v>
      </c>
      <c r="J45" s="203" t="s">
        <v>571</v>
      </c>
      <c r="K45" s="91" t="s">
        <v>572</v>
      </c>
      <c r="L45" s="203" t="s">
        <v>571</v>
      </c>
      <c r="M45" s="91" t="s">
        <v>572</v>
      </c>
      <c r="N45" s="203" t="s">
        <v>571</v>
      </c>
      <c r="O45" s="99" t="s">
        <v>572</v>
      </c>
    </row>
    <row r="46" spans="1:15" ht="15.6" hidden="1">
      <c r="A46" s="101" t="str">
        <f>IF('Indicator framework-Initial'!I58="","",'Indicator framework-Initial'!I58)</f>
        <v>HANWASH - Master</v>
      </c>
      <c r="B46" s="102" t="str">
        <f>IF('Indicator framework-Initial'!D58="","",'Indicator framework-Initial'!D58)</f>
        <v>2400a</v>
      </c>
      <c r="C46" s="103" t="str">
        <f>IF('Indicator framework-Initial'!E58="","",'Indicator framework-Initial'!E58)</f>
        <v>% of schools with basic drinking water, sanitation, and hygiene services</v>
      </c>
      <c r="D46" s="114" t="str">
        <f>IF('Indicator framework-Initial'!G58="","",'Indicator framework-Initial'!G58)</f>
        <v>% of total number of schools in intervention communes</v>
      </c>
      <c r="E46" s="165"/>
      <c r="F46" s="97" t="s">
        <v>571</v>
      </c>
      <c r="G46" s="91" t="s">
        <v>571</v>
      </c>
      <c r="H46" s="98" t="s">
        <v>571</v>
      </c>
      <c r="I46" s="91" t="s">
        <v>571</v>
      </c>
      <c r="J46" s="98" t="s">
        <v>571</v>
      </c>
      <c r="K46" s="91" t="s">
        <v>571</v>
      </c>
      <c r="L46" s="98" t="s">
        <v>571</v>
      </c>
      <c r="M46" s="91" t="s">
        <v>571</v>
      </c>
      <c r="N46" s="98" t="s">
        <v>571</v>
      </c>
      <c r="O46" s="91" t="s">
        <v>571</v>
      </c>
    </row>
    <row r="47" spans="1:15" ht="15.6" hidden="1">
      <c r="A47" s="101" t="str">
        <f>IF('Indicator framework-Initial'!I59="","",'Indicator framework-Initial'!I59)</f>
        <v>HANWASH - Master</v>
      </c>
      <c r="B47" s="102" t="str">
        <f>IF('Indicator framework-Initial'!D59="","",'Indicator framework-Initial'!D59)</f>
        <v>2400b</v>
      </c>
      <c r="C47" s="103" t="str">
        <f>IF('Indicator framework-Initial'!E59="","",'Indicator framework-Initial'!E59)</f>
        <v>% of healthcare facilities with basic drinking water, sanitation, and hygiene services</v>
      </c>
      <c r="D47" s="114" t="str">
        <f>IF('Indicator framework-Initial'!G59="","",'Indicator framework-Initial'!G59)</f>
        <v>% of total number of healthcare facilities in intervention communes</v>
      </c>
      <c r="E47" s="165"/>
      <c r="F47" s="97" t="s">
        <v>571</v>
      </c>
      <c r="G47" s="91" t="s">
        <v>571</v>
      </c>
      <c r="H47" s="98" t="s">
        <v>571</v>
      </c>
      <c r="I47" s="91" t="s">
        <v>571</v>
      </c>
      <c r="J47" s="98" t="s">
        <v>571</v>
      </c>
      <c r="K47" s="91" t="s">
        <v>571</v>
      </c>
      <c r="L47" s="98" t="s">
        <v>571</v>
      </c>
      <c r="M47" s="91" t="s">
        <v>571</v>
      </c>
      <c r="N47" s="98" t="s">
        <v>571</v>
      </c>
      <c r="O47" s="91" t="s">
        <v>571</v>
      </c>
    </row>
    <row r="48" spans="1:15" ht="15.6" hidden="1">
      <c r="A48" s="101" t="str">
        <f>IF('Indicator framework-Initial'!I60="","",'Indicator framework-Initial'!I60)</f>
        <v>HANWASH - Master</v>
      </c>
      <c r="B48" s="102" t="str">
        <f>IF('Indicator framework-Initial'!D60="","",'Indicator framework-Initial'!D60)</f>
        <v>2410a</v>
      </c>
      <c r="C48" s="103" t="str">
        <f>IF('Indicator framework-Initial'!E60="","",'Indicator framework-Initial'!E60)</f>
        <v># of schools added with basic drinking water services</v>
      </c>
      <c r="D48" s="114" t="str">
        <f>IF('Indicator framework-Initial'!G60="","",'Indicator framework-Initial'!G60)</f>
        <v>schools</v>
      </c>
      <c r="E48" s="165"/>
      <c r="F48" s="97" t="s">
        <v>571</v>
      </c>
      <c r="G48" s="91" t="s">
        <v>571</v>
      </c>
      <c r="H48" s="98" t="s">
        <v>571</v>
      </c>
      <c r="I48" s="91" t="s">
        <v>571</v>
      </c>
      <c r="J48" s="98" t="s">
        <v>571</v>
      </c>
      <c r="K48" s="91" t="s">
        <v>571</v>
      </c>
      <c r="L48" s="98" t="s">
        <v>571</v>
      </c>
      <c r="M48" s="91" t="s">
        <v>571</v>
      </c>
      <c r="N48" s="98" t="s">
        <v>571</v>
      </c>
      <c r="O48" s="91" t="s">
        <v>571</v>
      </c>
    </row>
    <row r="49" spans="1:35" ht="15.6" hidden="1">
      <c r="A49" s="101" t="str">
        <f>IF('Indicator framework-Initial'!I61="","",'Indicator framework-Initial'!I61)</f>
        <v>HANWASH - Master</v>
      </c>
      <c r="B49" s="102" t="str">
        <f>IF('Indicator framework-Initial'!D61="","",'Indicator framework-Initial'!D61)</f>
        <v>2410b</v>
      </c>
      <c r="C49" s="103" t="str">
        <f>IF('Indicator framework-Initial'!E61="","",'Indicator framework-Initial'!E61)</f>
        <v># of healthcare facilities added with basic drinking water services</v>
      </c>
      <c r="D49" s="114" t="str">
        <f>IF('Indicator framework-Initial'!G61="","",'Indicator framework-Initial'!G61)</f>
        <v>healthcare facilities</v>
      </c>
      <c r="E49" s="165"/>
      <c r="F49" s="97" t="s">
        <v>571</v>
      </c>
      <c r="G49" s="91" t="s">
        <v>571</v>
      </c>
      <c r="H49" s="98" t="s">
        <v>571</v>
      </c>
      <c r="I49" s="91" t="s">
        <v>571</v>
      </c>
      <c r="J49" s="98" t="s">
        <v>571</v>
      </c>
      <c r="K49" s="91" t="s">
        <v>571</v>
      </c>
      <c r="L49" s="98" t="s">
        <v>571</v>
      </c>
      <c r="M49" s="91" t="s">
        <v>571</v>
      </c>
      <c r="N49" s="98" t="s">
        <v>571</v>
      </c>
      <c r="O49" s="91" t="s">
        <v>571</v>
      </c>
    </row>
    <row r="50" spans="1:35" ht="15.6" hidden="1">
      <c r="A50" s="101" t="str">
        <f>IF('Indicator framework-Initial'!I62="","",'Indicator framework-Initial'!I62)</f>
        <v>HANWASH - Master</v>
      </c>
      <c r="B50" s="102" t="str">
        <f>IF('Indicator framework-Initial'!D62="","",'Indicator framework-Initial'!D62)</f>
        <v>2420a</v>
      </c>
      <c r="C50" s="103" t="str">
        <f>IF('Indicator framework-Initial'!E62="","",'Indicator framework-Initial'!E62)</f>
        <v># of schools added with basic sanitation services</v>
      </c>
      <c r="D50" s="114" t="str">
        <f>IF('Indicator framework-Initial'!G62="","",'Indicator framework-Initial'!G62)</f>
        <v>schools</v>
      </c>
      <c r="E50" s="165"/>
      <c r="F50" s="97" t="s">
        <v>571</v>
      </c>
      <c r="G50" s="91" t="s">
        <v>571</v>
      </c>
      <c r="H50" s="98" t="s">
        <v>571</v>
      </c>
      <c r="I50" s="91" t="s">
        <v>571</v>
      </c>
      <c r="J50" s="98" t="s">
        <v>571</v>
      </c>
      <c r="K50" s="91" t="s">
        <v>571</v>
      </c>
      <c r="L50" s="98" t="s">
        <v>571</v>
      </c>
      <c r="M50" s="91" t="s">
        <v>571</v>
      </c>
      <c r="N50" s="98" t="s">
        <v>571</v>
      </c>
      <c r="O50" s="91" t="s">
        <v>571</v>
      </c>
    </row>
    <row r="51" spans="1:35" ht="15.6" hidden="1">
      <c r="A51" s="101" t="str">
        <f>IF('Indicator framework-Initial'!I63="","",'Indicator framework-Initial'!I63)</f>
        <v>HANWASH - Master</v>
      </c>
      <c r="B51" s="102" t="str">
        <f>IF('Indicator framework-Initial'!D63="","",'Indicator framework-Initial'!D63)</f>
        <v>2420b</v>
      </c>
      <c r="C51" s="103" t="str">
        <f>IF('Indicator framework-Initial'!E63="","",'Indicator framework-Initial'!E63)</f>
        <v># of healthcare facilities added with basic sanitation services</v>
      </c>
      <c r="D51" s="114" t="str">
        <f>IF('Indicator framework-Initial'!G63="","",'Indicator framework-Initial'!G63)</f>
        <v>healthcare facilities</v>
      </c>
      <c r="E51" s="165"/>
      <c r="F51" s="97" t="s">
        <v>571</v>
      </c>
      <c r="G51" s="91" t="s">
        <v>571</v>
      </c>
      <c r="H51" s="98" t="s">
        <v>571</v>
      </c>
      <c r="I51" s="91" t="s">
        <v>571</v>
      </c>
      <c r="J51" s="98" t="s">
        <v>571</v>
      </c>
      <c r="K51" s="91" t="s">
        <v>571</v>
      </c>
      <c r="L51" s="98" t="s">
        <v>571</v>
      </c>
      <c r="M51" s="91" t="s">
        <v>571</v>
      </c>
      <c r="N51" s="98" t="s">
        <v>571</v>
      </c>
      <c r="O51" s="91" t="s">
        <v>571</v>
      </c>
    </row>
    <row r="52" spans="1:35" ht="15.6" hidden="1">
      <c r="A52" s="101" t="str">
        <f>IF('Indicator framework-Initial'!I64="","",'Indicator framework-Initial'!I64)</f>
        <v>HANWASH - Master</v>
      </c>
      <c r="B52" s="102" t="str">
        <f>IF('Indicator framework-Initial'!D64="","",'Indicator framework-Initial'!D64)</f>
        <v>2430a</v>
      </c>
      <c r="C52" s="103" t="str">
        <f>IF('Indicator framework-Initial'!E64="","",'Indicator framework-Initial'!E64)</f>
        <v># of schools added with basic hygiene</v>
      </c>
      <c r="D52" s="114" t="str">
        <f>IF('Indicator framework-Initial'!G64="","",'Indicator framework-Initial'!G64)</f>
        <v>schools</v>
      </c>
      <c r="E52" s="165"/>
      <c r="F52" s="97" t="s">
        <v>571</v>
      </c>
      <c r="G52" s="91" t="s">
        <v>571</v>
      </c>
      <c r="H52" s="98" t="s">
        <v>571</v>
      </c>
      <c r="I52" s="91" t="s">
        <v>571</v>
      </c>
      <c r="J52" s="98" t="s">
        <v>571</v>
      </c>
      <c r="K52" s="91" t="s">
        <v>571</v>
      </c>
      <c r="L52" s="98" t="s">
        <v>571</v>
      </c>
      <c r="M52" s="91" t="s">
        <v>571</v>
      </c>
      <c r="N52" s="98" t="s">
        <v>571</v>
      </c>
      <c r="O52" s="91" t="s">
        <v>571</v>
      </c>
    </row>
    <row r="53" spans="1:35" ht="15.6" hidden="1">
      <c r="A53" s="101" t="str">
        <f>IF('Indicator framework-Initial'!I65="","",'Indicator framework-Initial'!I65)</f>
        <v>HANWASH - Master</v>
      </c>
      <c r="B53" s="102" t="str">
        <f>IF('Indicator framework-Initial'!D65="","",'Indicator framework-Initial'!D65)</f>
        <v>2430b</v>
      </c>
      <c r="C53" s="103" t="str">
        <f>IF('Indicator framework-Initial'!E65="","",'Indicator framework-Initial'!E65)</f>
        <v># of healthcare facilities added with basic hygiene</v>
      </c>
      <c r="D53" s="114" t="str">
        <f>IF('Indicator framework-Initial'!G65="","",'Indicator framework-Initial'!G65)</f>
        <v>healthcare facilities</v>
      </c>
      <c r="E53" s="165"/>
      <c r="F53" s="97" t="s">
        <v>571</v>
      </c>
      <c r="G53" s="91" t="s">
        <v>571</v>
      </c>
      <c r="H53" s="98" t="s">
        <v>571</v>
      </c>
      <c r="I53" s="91" t="s">
        <v>571</v>
      </c>
      <c r="J53" s="98" t="s">
        <v>571</v>
      </c>
      <c r="K53" s="91" t="s">
        <v>571</v>
      </c>
      <c r="L53" s="98" t="s">
        <v>571</v>
      </c>
      <c r="M53" s="91" t="s">
        <v>571</v>
      </c>
      <c r="N53" s="98" t="s">
        <v>571</v>
      </c>
      <c r="O53" s="91" t="s">
        <v>571</v>
      </c>
    </row>
    <row r="54" spans="1:35" ht="15.6" hidden="1">
      <c r="A54" s="101" t="str">
        <f>IF('Indicator framework-Initial'!I66="","",'Indicator framework-Initial'!I66)</f>
        <v>Mattson</v>
      </c>
      <c r="B54" s="102" t="str">
        <f>IF('Indicator framework-Initial'!D66="","",'Indicator framework-Initial'!D66)</f>
        <v>-</v>
      </c>
      <c r="C54" s="103" t="str">
        <f>IF('Indicator framework-Initial'!E66="","",'Indicator framework-Initial'!E66)</f>
        <v>-</v>
      </c>
      <c r="D54" s="114" t="str">
        <f>IF('Indicator framework-Initial'!G66="","",'Indicator framework-Initial'!G66)</f>
        <v>-</v>
      </c>
      <c r="E54" s="162" t="s">
        <v>36</v>
      </c>
      <c r="F54" s="97" t="s">
        <v>36</v>
      </c>
      <c r="G54" s="91" t="s">
        <v>36</v>
      </c>
      <c r="H54" s="98" t="s">
        <v>36</v>
      </c>
      <c r="I54" s="91" t="s">
        <v>36</v>
      </c>
      <c r="J54" s="98" t="s">
        <v>36</v>
      </c>
      <c r="K54" s="91" t="s">
        <v>36</v>
      </c>
      <c r="L54" s="98" t="s">
        <v>36</v>
      </c>
      <c r="M54" s="91" t="s">
        <v>36</v>
      </c>
      <c r="N54" s="98" t="s">
        <v>36</v>
      </c>
      <c r="O54" s="91" t="s">
        <v>36</v>
      </c>
    </row>
    <row r="55" spans="1:35" s="2" customFormat="1" ht="16.5" customHeight="1">
      <c r="A55" s="101" t="str">
        <f>IF('Indicator framework-Initial'!I67="","",'Indicator framework-Initial'!I67)</f>
        <v>Mattson</v>
      </c>
      <c r="B55" s="102" t="str">
        <f>IF('Indicator framework-Initial'!D67="","",'Indicator framework-Initial'!D67)</f>
        <v>3100a</v>
      </c>
      <c r="C55" s="103" t="str">
        <f>IF('Indicator framework-Initial'!E67="","",'Indicator framework-Initial'!E67)</f>
        <v>Cumulative amount of money committed in alignment with HANWASH Core Values</v>
      </c>
      <c r="D55" s="114" t="str">
        <f>IF('Indicator framework-Initial'!G67="","",'Indicator framework-Initial'!G67)</f>
        <v>USD</v>
      </c>
      <c r="E55" s="166">
        <v>9600000</v>
      </c>
      <c r="F55" s="97">
        <v>3800000</v>
      </c>
      <c r="G55" s="91" t="s">
        <v>572</v>
      </c>
      <c r="H55" s="203" t="s">
        <v>571</v>
      </c>
      <c r="I55" s="91" t="s">
        <v>572</v>
      </c>
      <c r="J55" s="203" t="s">
        <v>571</v>
      </c>
      <c r="K55" s="91" t="s">
        <v>572</v>
      </c>
      <c r="L55" s="203" t="s">
        <v>571</v>
      </c>
      <c r="M55" s="91" t="s">
        <v>572</v>
      </c>
      <c r="N55" s="98">
        <v>9600000</v>
      </c>
      <c r="O55" s="99" t="s">
        <v>572</v>
      </c>
      <c r="P55"/>
    </row>
    <row r="56" spans="1:35" s="2" customFormat="1" ht="16.5" customHeight="1">
      <c r="A56" s="101" t="str">
        <f>IF('Indicator framework-Initial'!I68="","",'Indicator framework-Initial'!I68)</f>
        <v>Mattson</v>
      </c>
      <c r="B56" s="102" t="str">
        <f>IF('Indicator framework-Initial'!D68="","",'Indicator framework-Initial'!D68)</f>
        <v>3100b</v>
      </c>
      <c r="C56" s="103" t="str">
        <f>IF('Indicator framework-Initial'!E68="","",'Indicator framework-Initial'!E68)</f>
        <v>% of committed money which has been spent (cumulative)</v>
      </c>
      <c r="D56" s="114" t="str">
        <f>IF('Indicator framework-Initial'!G68="","",'Indicator framework-Initial'!G68)</f>
        <v>% of amount committeed</v>
      </c>
      <c r="E56" s="163">
        <v>1</v>
      </c>
      <c r="F56" s="201" t="s">
        <v>571</v>
      </c>
      <c r="G56" s="91" t="s">
        <v>572</v>
      </c>
      <c r="H56" s="203" t="s">
        <v>571</v>
      </c>
      <c r="I56" s="91" t="s">
        <v>572</v>
      </c>
      <c r="J56" s="203" t="s">
        <v>571</v>
      </c>
      <c r="K56" s="91" t="s">
        <v>572</v>
      </c>
      <c r="L56" s="203" t="s">
        <v>571</v>
      </c>
      <c r="M56" s="91" t="s">
        <v>572</v>
      </c>
      <c r="N56" s="203" t="s">
        <v>571</v>
      </c>
      <c r="O56" s="99" t="s">
        <v>572</v>
      </c>
      <c r="P56"/>
    </row>
    <row r="57" spans="1:35" s="2" customFormat="1" ht="16.5" customHeight="1">
      <c r="A57" s="101" t="str">
        <f>IF('Indicator framework-Initial'!I69="","",'Indicator framework-Initial'!I69)</f>
        <v>Mattson</v>
      </c>
      <c r="B57" s="102" t="str">
        <f>IF('Indicator framework-Initial'!D69="","",'Indicator framework-Initial'!D69)</f>
        <v>3110a</v>
      </c>
      <c r="C57" s="103" t="str">
        <f>IF('Indicator framework-Initial'!E69="","",'Indicator framework-Initial'!E69)</f>
        <v>Amount of money spent by external actors within HANWASH project areas</v>
      </c>
      <c r="D57" s="114" t="str">
        <f>IF('Indicator framework-Initial'!G69="","",'Indicator framework-Initial'!G69)</f>
        <v>USD</v>
      </c>
      <c r="E57" s="166">
        <v>7200000</v>
      </c>
      <c r="F57" s="201" t="s">
        <v>571</v>
      </c>
      <c r="G57" s="91" t="s">
        <v>572</v>
      </c>
      <c r="H57" s="203" t="s">
        <v>571</v>
      </c>
      <c r="I57" s="91" t="s">
        <v>572</v>
      </c>
      <c r="J57" s="203" t="s">
        <v>571</v>
      </c>
      <c r="K57" s="91" t="s">
        <v>572</v>
      </c>
      <c r="L57" s="203" t="s">
        <v>571</v>
      </c>
      <c r="M57" s="91" t="s">
        <v>572</v>
      </c>
      <c r="N57" s="203" t="s">
        <v>571</v>
      </c>
      <c r="O57" s="99" t="s">
        <v>572</v>
      </c>
      <c r="P57"/>
    </row>
    <row r="58" spans="1:35" ht="15.6" hidden="1">
      <c r="A58" s="101" t="str">
        <f>IF('Indicator framework-Initial'!I70="","",'Indicator framework-Initial'!I70)</f>
        <v>HANWASH - Master</v>
      </c>
      <c r="B58" s="102" t="str">
        <f>IF('Indicator framework-Initial'!D70="","",'Indicator framework-Initial'!D70)</f>
        <v>3120a</v>
      </c>
      <c r="C58" s="103" t="str">
        <f>IF('Indicator framework-Initial'!E70="","",'Indicator framework-Initial'!E70)</f>
        <v>Amount of money spent by external actors beyond project areas in alignment with HANWASH Core Values</v>
      </c>
      <c r="D58" s="114" t="str">
        <f>IF('Indicator framework-Initial'!G70="","",'Indicator framework-Initial'!G70)</f>
        <v>USD</v>
      </c>
      <c r="E58" s="169">
        <v>0</v>
      </c>
      <c r="F58" s="97" t="s">
        <v>571</v>
      </c>
      <c r="G58" s="91" t="s">
        <v>571</v>
      </c>
      <c r="H58" s="98" t="s">
        <v>571</v>
      </c>
      <c r="I58" s="91" t="s">
        <v>571</v>
      </c>
      <c r="J58" s="98" t="s">
        <v>571</v>
      </c>
      <c r="K58" s="91" t="s">
        <v>571</v>
      </c>
      <c r="L58" s="98" t="s">
        <v>571</v>
      </c>
      <c r="M58" s="91" t="s">
        <v>571</v>
      </c>
      <c r="N58" s="98" t="s">
        <v>571</v>
      </c>
      <c r="O58" s="91" t="s">
        <v>571</v>
      </c>
    </row>
    <row r="59" spans="1:35" ht="15.6">
      <c r="A59" s="101" t="str">
        <f>IF('Indicator framework-Initial'!I71="","",'Indicator framework-Initial'!I71)</f>
        <v>Mattson</v>
      </c>
      <c r="B59" s="102" t="str">
        <f>IF('Indicator framework-Initial'!D71="","",'Indicator framework-Initial'!D71)</f>
        <v>3200a</v>
      </c>
      <c r="C59" s="103" t="str">
        <f>IF('Indicator framework-Initial'!E71="","",'Indicator framework-Initial'!E71)</f>
        <v>% of implementing partners in HANWASH program areas who have signed the DINEPA Accord Cadre</v>
      </c>
      <c r="D59" s="114" t="str">
        <f>IF('Indicator framework-Initial'!G71="","",'Indicator framework-Initial'!G71)</f>
        <v>% of implementing partners in HANWASH program areas</v>
      </c>
      <c r="E59" s="163">
        <v>1</v>
      </c>
      <c r="F59" s="201" t="s">
        <v>571</v>
      </c>
      <c r="G59" s="91" t="s">
        <v>572</v>
      </c>
      <c r="H59" s="203" t="s">
        <v>571</v>
      </c>
      <c r="I59" s="91" t="s">
        <v>572</v>
      </c>
      <c r="J59" s="203" t="s">
        <v>571</v>
      </c>
      <c r="K59" s="91" t="s">
        <v>572</v>
      </c>
      <c r="L59" s="203" t="s">
        <v>571</v>
      </c>
      <c r="M59" s="91" t="s">
        <v>572</v>
      </c>
      <c r="N59" s="203" t="s">
        <v>571</v>
      </c>
      <c r="O59" s="99" t="s">
        <v>572</v>
      </c>
    </row>
    <row r="60" spans="1:35" s="100" customFormat="1" ht="15.6">
      <c r="A60" s="101" t="str">
        <f>IF('Indicator framework-Initial'!I72="","",'Indicator framework-Initial'!I72)</f>
        <v>Mattson</v>
      </c>
      <c r="B60" s="102" t="str">
        <f>IF('Indicator framework-Initial'!D72="","",'Indicator framework-Initial'!D72)</f>
        <v>3210a</v>
      </c>
      <c r="C60" s="103" t="str">
        <f>IF('Indicator framework-Initial'!E72="","",'Indicator framework-Initial'!E72)</f>
        <v># of DINEPA personnel trained as leaders</v>
      </c>
      <c r="D60" s="114" t="str">
        <f>IF('Indicator framework-Initial'!G72="","",'Indicator framework-Initial'!G72)</f>
        <v>people</v>
      </c>
      <c r="E60" s="165">
        <v>120</v>
      </c>
      <c r="F60" s="97" t="s">
        <v>573</v>
      </c>
      <c r="G60" s="91" t="s">
        <v>572</v>
      </c>
      <c r="H60" s="203" t="s">
        <v>571</v>
      </c>
      <c r="I60" s="91" t="s">
        <v>572</v>
      </c>
      <c r="J60" s="203" t="s">
        <v>571</v>
      </c>
      <c r="K60" s="91" t="s">
        <v>572</v>
      </c>
      <c r="L60" s="203" t="s">
        <v>571</v>
      </c>
      <c r="M60" s="91" t="s">
        <v>572</v>
      </c>
      <c r="N60" s="203" t="s">
        <v>571</v>
      </c>
      <c r="O60" s="99" t="s">
        <v>572</v>
      </c>
      <c r="P60"/>
      <c r="Q60"/>
      <c r="R60"/>
      <c r="S60"/>
      <c r="T60"/>
      <c r="U60"/>
      <c r="V60"/>
      <c r="W60"/>
      <c r="X60"/>
      <c r="Y60"/>
      <c r="Z60"/>
      <c r="AA60"/>
      <c r="AB60"/>
      <c r="AC60"/>
      <c r="AD60"/>
      <c r="AE60"/>
      <c r="AF60"/>
      <c r="AG60"/>
      <c r="AH60"/>
      <c r="AI60"/>
    </row>
    <row r="61" spans="1:35" s="100" customFormat="1" ht="15.6">
      <c r="A61" s="101" t="str">
        <f>IF('Indicator framework-Initial'!I73="","",'Indicator framework-Initial'!I73)</f>
        <v>Mattson</v>
      </c>
      <c r="B61" s="102" t="str">
        <f>IF('Indicator framework-Initial'!D73="","",'Indicator framework-Initial'!D73)</f>
        <v>3220a</v>
      </c>
      <c r="C61" s="103" t="str">
        <f>IF('Indicator framework-Initial'!E73="","",'Indicator framework-Initial'!E73)</f>
        <v># of technical trainings provided for DINEPA priority areas</v>
      </c>
      <c r="D61" s="114" t="str">
        <f>IF('Indicator framework-Initial'!G73="","",'Indicator framework-Initial'!G73)</f>
        <v>trainings</v>
      </c>
      <c r="E61" s="170">
        <v>5</v>
      </c>
      <c r="F61" s="202" t="s">
        <v>571</v>
      </c>
      <c r="G61" s="160" t="s">
        <v>572</v>
      </c>
      <c r="H61" s="204" t="s">
        <v>571</v>
      </c>
      <c r="I61" s="160" t="s">
        <v>572</v>
      </c>
      <c r="J61" s="204" t="s">
        <v>571</v>
      </c>
      <c r="K61" s="160" t="s">
        <v>572</v>
      </c>
      <c r="L61" s="204" t="s">
        <v>571</v>
      </c>
      <c r="M61" s="160" t="s">
        <v>572</v>
      </c>
      <c r="N61" s="204" t="s">
        <v>571</v>
      </c>
      <c r="O61" s="196" t="s">
        <v>572</v>
      </c>
      <c r="P61"/>
      <c r="Q61"/>
      <c r="R61"/>
      <c r="S61"/>
      <c r="T61"/>
      <c r="U61"/>
      <c r="V61"/>
      <c r="W61"/>
      <c r="X61"/>
      <c r="Y61"/>
      <c r="Z61"/>
      <c r="AA61"/>
      <c r="AB61"/>
      <c r="AC61"/>
      <c r="AD61"/>
      <c r="AE61"/>
      <c r="AF61"/>
      <c r="AG61"/>
      <c r="AH61"/>
      <c r="AI61"/>
    </row>
    <row r="62" spans="1:35" ht="15.6"/>
    <row r="63" spans="1:35" ht="15.6"/>
    <row r="64" spans="1:35" ht="15.6"/>
    <row r="65" ht="15.6"/>
    <row r="66" ht="15.6"/>
  </sheetData>
  <autoFilter ref="A12:D61" xr:uid="{AD76125C-70CD-C040-B02E-264D176A2485}">
    <filterColumn colId="0">
      <filters>
        <filter val="Mattson"/>
      </filters>
    </filterColumn>
    <filterColumn colId="1">
      <filters>
        <filter val="1100a"/>
        <filter val="1110a"/>
        <filter val="1120a"/>
        <filter val="1120b"/>
        <filter val="1200a"/>
        <filter val="1210a"/>
        <filter val="1220a"/>
        <filter val="1300a"/>
        <filter val="1300b"/>
        <filter val="1310a"/>
        <filter val="1310b"/>
        <filter val="1320a"/>
        <filter val="2100a"/>
        <filter val="2100b"/>
        <filter val="2100c"/>
        <filter val="2110a"/>
        <filter val="2110b"/>
        <filter val="2120a"/>
        <filter val="2120b"/>
        <filter val="2200a"/>
        <filter val="2200b"/>
        <filter val="2200c"/>
        <filter val="2210a"/>
        <filter val="2210b"/>
        <filter val="2220a"/>
        <filter val="2230a"/>
        <filter val="2300a"/>
        <filter val="2300b"/>
        <filter val="2310a"/>
        <filter val="2320a"/>
        <filter val="2400a"/>
        <filter val="2400b"/>
        <filter val="2410a"/>
        <filter val="2410b"/>
        <filter val="2420a"/>
        <filter val="2420b"/>
        <filter val="2430a"/>
        <filter val="2430b"/>
        <filter val="3100a"/>
        <filter val="3100b"/>
        <filter val="3110a"/>
        <filter val="3120a"/>
        <filter val="3200a"/>
        <filter val="3210a"/>
        <filter val="3220a"/>
      </filters>
    </filterColumn>
  </autoFilter>
  <mergeCells count="17">
    <mergeCell ref="A1:C1"/>
    <mergeCell ref="A2:C2"/>
    <mergeCell ref="A3:C3"/>
    <mergeCell ref="A4:C4"/>
    <mergeCell ref="A5:C5"/>
    <mergeCell ref="A6:C6"/>
    <mergeCell ref="A7:C7"/>
    <mergeCell ref="A8:C8"/>
    <mergeCell ref="N11:O11"/>
    <mergeCell ref="J11:K11"/>
    <mergeCell ref="F11:G11"/>
    <mergeCell ref="H11:I11"/>
    <mergeCell ref="L11:M11"/>
    <mergeCell ref="A10:D10"/>
    <mergeCell ref="E10:O10"/>
    <mergeCell ref="E11:E12"/>
    <mergeCell ref="B11:D11"/>
  </mergeCells>
  <phoneticPr fontId="16" type="noConversion"/>
  <hyperlinks>
    <hyperlink ref="A5" r:id="rId1" xr:uid="{06D7027E-94D5-44A2-BD9B-BD9A053FE8DC}"/>
  </hyperlinks>
  <pageMargins left="0.7" right="0.7" top="0.75" bottom="0.75" header="0.3" footer="0.3"/>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1C4F1-9A65-471A-B22E-B99751D6AC65}">
  <sheetPr filterMode="1">
    <pageSetUpPr fitToPage="1"/>
  </sheetPr>
  <dimension ref="A1:AF57"/>
  <sheetViews>
    <sheetView topLeftCell="F7" zoomScale="88" zoomScaleNormal="88" workbookViewId="0">
      <selection activeCell="L26" sqref="L26"/>
    </sheetView>
  </sheetViews>
  <sheetFormatPr defaultColWidth="11" defaultRowHeight="15.75" customHeight="1"/>
  <cols>
    <col min="1" max="1" width="19.375" style="20" customWidth="1"/>
    <col min="2" max="2" width="7.375" style="7" customWidth="1"/>
    <col min="3" max="3" width="52.125" style="43" customWidth="1"/>
    <col min="4" max="4" width="12.75" style="8" bestFit="1" customWidth="1"/>
    <col min="5" max="5" width="71.125" style="7" customWidth="1"/>
    <col min="6" max="6" width="71.5" style="7" customWidth="1"/>
    <col min="7" max="7" width="17.625" customWidth="1"/>
    <col min="8" max="9" width="11.875" style="7" hidden="1" customWidth="1"/>
    <col min="10" max="10" width="18.625" style="20" customWidth="1"/>
    <col min="11" max="11" width="15" style="20" customWidth="1"/>
    <col min="12" max="12" width="12.25" style="20" customWidth="1"/>
    <col min="13" max="13" width="18.25" style="20" hidden="1" customWidth="1"/>
    <col min="14" max="14" width="18.625" style="20" customWidth="1"/>
    <col min="15" max="15" width="15.5" style="20" hidden="1" customWidth="1"/>
    <col min="16" max="17" width="26.625" hidden="1" customWidth="1"/>
    <col min="18" max="18" width="22.125" style="20" hidden="1" customWidth="1"/>
    <col min="19" max="19" width="21.125" style="20" customWidth="1"/>
    <col min="20" max="20" width="18.125" style="20" customWidth="1"/>
    <col min="21" max="21" width="20" style="20" hidden="1" customWidth="1"/>
    <col min="22" max="22" width="87" style="20" hidden="1" customWidth="1"/>
  </cols>
  <sheetData>
    <row r="1" spans="1:22" ht="15.6">
      <c r="A1" s="456" t="s">
        <v>173</v>
      </c>
      <c r="B1" s="456"/>
      <c r="C1" s="456"/>
      <c r="E1" s="74" t="s">
        <v>174</v>
      </c>
      <c r="F1" s="75"/>
      <c r="G1" s="75"/>
      <c r="H1" s="75"/>
      <c r="I1" s="75"/>
      <c r="J1" s="80"/>
      <c r="K1" s="80"/>
      <c r="L1" s="80"/>
      <c r="M1" s="80"/>
      <c r="N1" s="80"/>
      <c r="O1" s="80"/>
      <c r="P1" s="81"/>
      <c r="Q1" s="81"/>
      <c r="R1" s="80"/>
    </row>
    <row r="2" spans="1:22" ht="15.6">
      <c r="A2" s="457" t="s">
        <v>175</v>
      </c>
      <c r="B2" s="457"/>
      <c r="C2" s="457"/>
      <c r="E2" s="94" t="s">
        <v>176</v>
      </c>
      <c r="F2" s="77" t="str">
        <f>"'-' Not applicable"</f>
        <v>'-' Not applicable</v>
      </c>
    </row>
    <row r="3" spans="1:22" ht="15.95" thickBot="1">
      <c r="A3" s="456" t="s">
        <v>177</v>
      </c>
      <c r="B3" s="456"/>
      <c r="C3" s="456"/>
      <c r="E3" s="72"/>
      <c r="F3" s="73"/>
      <c r="G3" s="78"/>
      <c r="H3" s="73"/>
      <c r="I3" s="73"/>
      <c r="J3" s="79"/>
      <c r="K3" s="79"/>
      <c r="L3" s="79"/>
      <c r="M3" s="79"/>
      <c r="N3" s="79"/>
      <c r="O3" s="79"/>
      <c r="P3" s="78"/>
      <c r="Q3" s="78"/>
      <c r="R3" s="79"/>
      <c r="S3" s="79"/>
      <c r="T3" s="79"/>
    </row>
    <row r="4" spans="1:22" ht="15.6">
      <c r="A4" s="445" t="s">
        <v>178</v>
      </c>
      <c r="B4" s="445"/>
      <c r="C4" s="445"/>
      <c r="E4" s="76" t="s">
        <v>179</v>
      </c>
      <c r="F4" s="456" t="s">
        <v>9</v>
      </c>
      <c r="G4" s="456"/>
      <c r="H4" s="456"/>
      <c r="I4" s="456"/>
      <c r="J4" s="456"/>
      <c r="K4" s="458"/>
      <c r="L4" s="458"/>
      <c r="M4" s="458"/>
      <c r="N4" s="456"/>
      <c r="O4" s="458"/>
      <c r="P4" s="456"/>
      <c r="Q4" s="456"/>
      <c r="R4" s="458"/>
      <c r="S4" s="458"/>
      <c r="T4" s="458"/>
    </row>
    <row r="5" spans="1:22" ht="15.6">
      <c r="A5" s="455" t="s">
        <v>180</v>
      </c>
      <c r="B5" s="455"/>
      <c r="C5" s="455"/>
      <c r="E5" s="387" t="s">
        <v>10</v>
      </c>
      <c r="F5" s="445" t="s">
        <v>181</v>
      </c>
      <c r="G5" s="445"/>
      <c r="H5" s="445"/>
      <c r="I5" s="445"/>
      <c r="J5" s="445"/>
      <c r="K5" s="445"/>
      <c r="L5" s="445"/>
      <c r="M5" s="445"/>
      <c r="N5" s="445"/>
      <c r="O5" s="445"/>
      <c r="P5" s="445"/>
      <c r="Q5" s="445"/>
      <c r="R5" s="445"/>
      <c r="S5" s="445"/>
      <c r="T5" s="445"/>
    </row>
    <row r="6" spans="1:22" ht="15.6">
      <c r="A6" s="444" t="s">
        <v>182</v>
      </c>
      <c r="B6" s="445"/>
      <c r="C6" s="445"/>
      <c r="E6" s="388" t="s">
        <v>37</v>
      </c>
      <c r="F6" s="445" t="s">
        <v>183</v>
      </c>
      <c r="G6" s="445"/>
      <c r="H6" s="445"/>
      <c r="I6" s="445"/>
      <c r="J6" s="445"/>
      <c r="K6" s="446"/>
      <c r="L6" s="446"/>
      <c r="M6" s="446"/>
      <c r="N6" s="445"/>
      <c r="O6" s="446"/>
      <c r="P6" s="445"/>
      <c r="Q6" s="445"/>
      <c r="R6" s="446"/>
      <c r="S6" s="446"/>
      <c r="T6" s="446"/>
    </row>
    <row r="7" spans="1:22" ht="15.6">
      <c r="A7" s="444" t="s">
        <v>184</v>
      </c>
      <c r="B7" s="445"/>
      <c r="C7" s="445"/>
      <c r="E7" s="389" t="s">
        <v>40</v>
      </c>
      <c r="F7" s="445" t="s">
        <v>185</v>
      </c>
      <c r="G7" s="445"/>
      <c r="H7" s="445"/>
      <c r="I7" s="445"/>
      <c r="J7" s="445"/>
      <c r="K7" s="446"/>
      <c r="L7" s="446"/>
      <c r="M7" s="446"/>
      <c r="N7" s="445"/>
      <c r="O7" s="446"/>
      <c r="P7" s="445"/>
      <c r="Q7" s="445"/>
      <c r="R7" s="446"/>
      <c r="S7" s="446"/>
      <c r="T7" s="446"/>
    </row>
    <row r="8" spans="1:22" ht="38.25" customHeight="1">
      <c r="A8" s="447" t="s">
        <v>186</v>
      </c>
      <c r="B8" s="447"/>
      <c r="C8" s="447"/>
      <c r="E8" s="4" t="s">
        <v>187</v>
      </c>
      <c r="F8" s="448" t="s">
        <v>188</v>
      </c>
      <c r="G8" s="448"/>
      <c r="H8" s="448"/>
      <c r="I8" s="448"/>
      <c r="J8" s="448"/>
      <c r="K8" s="449"/>
      <c r="L8" s="449"/>
      <c r="M8" s="449"/>
      <c r="N8" s="448"/>
      <c r="O8" s="449"/>
      <c r="P8" s="448"/>
      <c r="Q8" s="448"/>
      <c r="R8" s="449"/>
      <c r="S8" s="449"/>
      <c r="T8" s="449"/>
    </row>
    <row r="9" spans="1:22" ht="15.75" customHeight="1" thickBot="1"/>
    <row r="10" spans="1:22" ht="15.95" customHeight="1">
      <c r="A10" s="450" t="s">
        <v>189</v>
      </c>
      <c r="B10" s="451"/>
      <c r="C10" s="451"/>
      <c r="D10" s="452" t="s">
        <v>28</v>
      </c>
      <c r="E10" s="452"/>
      <c r="F10" s="452"/>
      <c r="G10" s="452"/>
      <c r="H10" s="452"/>
      <c r="I10" s="452"/>
      <c r="J10" s="452"/>
      <c r="K10" s="452" t="s">
        <v>190</v>
      </c>
      <c r="L10" s="452"/>
      <c r="M10" s="452"/>
      <c r="N10" s="453"/>
      <c r="O10" s="452"/>
      <c r="P10" s="453" t="s">
        <v>191</v>
      </c>
      <c r="Q10" s="453"/>
      <c r="R10" s="452" t="s">
        <v>192</v>
      </c>
      <c r="S10" s="452"/>
      <c r="T10" s="452"/>
      <c r="U10" s="454"/>
      <c r="V10" s="442" t="s">
        <v>193</v>
      </c>
    </row>
    <row r="11" spans="1:22" ht="15.6">
      <c r="A11" s="355" t="s">
        <v>8</v>
      </c>
      <c r="B11" s="337" t="s">
        <v>194</v>
      </c>
      <c r="C11" s="337" t="s">
        <v>9</v>
      </c>
      <c r="D11" s="324" t="s">
        <v>195</v>
      </c>
      <c r="E11" s="338" t="s">
        <v>9</v>
      </c>
      <c r="F11" s="338" t="s">
        <v>29</v>
      </c>
      <c r="G11" s="324" t="s">
        <v>30</v>
      </c>
      <c r="H11" s="338" t="s">
        <v>196</v>
      </c>
      <c r="I11" s="338" t="s">
        <v>197</v>
      </c>
      <c r="J11" s="338" t="s">
        <v>198</v>
      </c>
      <c r="K11" s="324" t="s">
        <v>199</v>
      </c>
      <c r="L11" s="324" t="s">
        <v>200</v>
      </c>
      <c r="M11" s="324" t="s">
        <v>201</v>
      </c>
      <c r="N11" s="324" t="s">
        <v>202</v>
      </c>
      <c r="O11" s="324" t="s">
        <v>203</v>
      </c>
      <c r="P11" s="325" t="s">
        <v>204</v>
      </c>
      <c r="Q11" s="325" t="s">
        <v>190</v>
      </c>
      <c r="R11" s="324" t="s">
        <v>199</v>
      </c>
      <c r="S11" s="324" t="s">
        <v>205</v>
      </c>
      <c r="T11" s="324" t="s">
        <v>206</v>
      </c>
      <c r="U11" s="356" t="s">
        <v>203</v>
      </c>
      <c r="V11" s="443"/>
    </row>
    <row r="12" spans="1:22" ht="34.5" hidden="1" customHeight="1">
      <c r="A12" s="390" t="s">
        <v>10</v>
      </c>
      <c r="B12" s="391">
        <v>1</v>
      </c>
      <c r="C12" s="392" t="str">
        <f>'Log frame'!B13</f>
        <v>Increased access to safe, sustainable and affordable water, sanitation and hygiene (WASH) services in Haiti​.</v>
      </c>
      <c r="D12" s="392" t="s">
        <v>36</v>
      </c>
      <c r="E12" s="392" t="s">
        <v>36</v>
      </c>
      <c r="F12" s="392" t="s">
        <v>36</v>
      </c>
      <c r="G12" s="392" t="s">
        <v>36</v>
      </c>
      <c r="H12" s="326" t="s">
        <v>36</v>
      </c>
      <c r="I12" s="326" t="str">
        <f>"Mattson"</f>
        <v>Mattson</v>
      </c>
      <c r="J12" s="392" t="s">
        <v>36</v>
      </c>
      <c r="K12" s="392" t="s">
        <v>36</v>
      </c>
      <c r="L12" s="392" t="s">
        <v>36</v>
      </c>
      <c r="M12" s="326"/>
      <c r="N12" s="392" t="s">
        <v>36</v>
      </c>
      <c r="O12" s="326" t="s">
        <v>36</v>
      </c>
      <c r="P12" s="326" t="s">
        <v>36</v>
      </c>
      <c r="Q12" s="326" t="s">
        <v>36</v>
      </c>
      <c r="R12" s="326" t="s">
        <v>36</v>
      </c>
      <c r="S12" s="392" t="s">
        <v>36</v>
      </c>
      <c r="T12" s="392" t="s">
        <v>36</v>
      </c>
      <c r="U12" s="358" t="s">
        <v>36</v>
      </c>
      <c r="V12" s="136" t="s">
        <v>207</v>
      </c>
    </row>
    <row r="13" spans="1:22" ht="34.5" hidden="1" customHeight="1">
      <c r="A13" s="393" t="s">
        <v>37</v>
      </c>
      <c r="B13" s="394">
        <v>1000</v>
      </c>
      <c r="C13" s="395" t="str">
        <f>'Log frame'!B15</f>
        <v>Strengthened demand for and management of WASH services in communes.</v>
      </c>
      <c r="D13" s="395" t="s">
        <v>36</v>
      </c>
      <c r="E13" s="395" t="s">
        <v>36</v>
      </c>
      <c r="F13" s="395" t="s">
        <v>36</v>
      </c>
      <c r="G13" s="395" t="s">
        <v>36</v>
      </c>
      <c r="H13" s="326" t="s">
        <v>36</v>
      </c>
      <c r="I13" s="326" t="str">
        <f t="shared" ref="I13:I57" si="0">"Mattson"</f>
        <v>Mattson</v>
      </c>
      <c r="J13" s="395" t="s">
        <v>36</v>
      </c>
      <c r="K13" s="395" t="s">
        <v>36</v>
      </c>
      <c r="L13" s="395" t="s">
        <v>36</v>
      </c>
      <c r="M13" s="326"/>
      <c r="N13" s="395" t="s">
        <v>36</v>
      </c>
      <c r="O13" s="326" t="s">
        <v>36</v>
      </c>
      <c r="P13" s="326" t="s">
        <v>36</v>
      </c>
      <c r="Q13" s="326" t="s">
        <v>36</v>
      </c>
      <c r="R13" s="326" t="s">
        <v>36</v>
      </c>
      <c r="S13" s="395" t="s">
        <v>36</v>
      </c>
      <c r="T13" s="395" t="s">
        <v>36</v>
      </c>
      <c r="U13" s="358" t="s">
        <v>36</v>
      </c>
      <c r="V13" s="136" t="s">
        <v>207</v>
      </c>
    </row>
    <row r="14" spans="1:22" ht="34.5" hidden="1" customHeight="1">
      <c r="A14" s="399" t="s">
        <v>40</v>
      </c>
      <c r="B14" s="400">
        <v>1100</v>
      </c>
      <c r="C14" s="401" t="str">
        <f>'Log frame'!B17</f>
        <v>Increased civil society engagement in decision making and implementation of WASH services.</v>
      </c>
      <c r="D14" s="402" t="s">
        <v>39</v>
      </c>
      <c r="E14" s="401" t="s">
        <v>208</v>
      </c>
      <c r="F14" s="401" t="s">
        <v>42</v>
      </c>
      <c r="G14" s="401" t="s">
        <v>43</v>
      </c>
      <c r="H14" s="326" t="s">
        <v>209</v>
      </c>
      <c r="I14" s="326" t="str">
        <f t="shared" si="0"/>
        <v>Mattson</v>
      </c>
      <c r="J14" s="401" t="s">
        <v>210</v>
      </c>
      <c r="K14" s="403" t="s">
        <v>211</v>
      </c>
      <c r="L14" s="404" t="s">
        <v>212</v>
      </c>
      <c r="M14" s="341" t="s">
        <v>213</v>
      </c>
      <c r="N14" s="405" t="s">
        <v>214</v>
      </c>
      <c r="O14" s="333" t="s">
        <v>215</v>
      </c>
      <c r="P14" s="294"/>
      <c r="Q14" s="294"/>
      <c r="R14" s="341" t="s">
        <v>216</v>
      </c>
      <c r="S14" s="404" t="s">
        <v>217</v>
      </c>
      <c r="T14" s="404" t="s">
        <v>218</v>
      </c>
      <c r="U14" s="359" t="s">
        <v>215</v>
      </c>
      <c r="V14" s="334" t="s">
        <v>219</v>
      </c>
    </row>
    <row r="15" spans="1:22" ht="34.5" hidden="1" customHeight="1">
      <c r="A15" s="399" t="s">
        <v>40</v>
      </c>
      <c r="B15" s="400">
        <v>1100</v>
      </c>
      <c r="C15" s="401" t="s">
        <v>41</v>
      </c>
      <c r="D15" s="402" t="s">
        <v>44</v>
      </c>
      <c r="E15" s="401" t="s">
        <v>220</v>
      </c>
      <c r="F15" s="401" t="s">
        <v>45</v>
      </c>
      <c r="G15" s="401" t="s">
        <v>46</v>
      </c>
      <c r="H15" s="326" t="s">
        <v>221</v>
      </c>
      <c r="I15" s="326" t="s">
        <v>222</v>
      </c>
      <c r="J15" s="401" t="s">
        <v>210</v>
      </c>
      <c r="K15" s="403" t="s">
        <v>211</v>
      </c>
      <c r="L15" s="404" t="s">
        <v>212</v>
      </c>
      <c r="M15" s="341" t="s">
        <v>213</v>
      </c>
      <c r="N15" s="405" t="s">
        <v>214</v>
      </c>
      <c r="O15" s="333" t="s">
        <v>215</v>
      </c>
      <c r="P15" s="341" t="s">
        <v>223</v>
      </c>
      <c r="Q15" s="341" t="s">
        <v>217</v>
      </c>
      <c r="R15" s="341" t="s">
        <v>224</v>
      </c>
      <c r="S15" s="404" t="s">
        <v>217</v>
      </c>
      <c r="T15" s="404" t="s">
        <v>218</v>
      </c>
      <c r="U15" s="360" t="s">
        <v>215</v>
      </c>
      <c r="V15" s="335"/>
    </row>
    <row r="16" spans="1:22" ht="48.6" hidden="1" customHeight="1">
      <c r="A16" s="357" t="s">
        <v>16</v>
      </c>
      <c r="B16" s="339">
        <v>1110</v>
      </c>
      <c r="C16" s="342" t="s">
        <v>48</v>
      </c>
      <c r="D16" s="340" t="s">
        <v>47</v>
      </c>
      <c r="E16" s="326" t="s">
        <v>225</v>
      </c>
      <c r="F16" s="326" t="s">
        <v>49</v>
      </c>
      <c r="G16" s="330" t="s">
        <v>50</v>
      </c>
      <c r="H16" s="326" t="s">
        <v>209</v>
      </c>
      <c r="I16" s="326" t="str">
        <f t="shared" si="0"/>
        <v>Mattson</v>
      </c>
      <c r="J16" s="326" t="s">
        <v>210</v>
      </c>
      <c r="K16" s="333" t="s">
        <v>211</v>
      </c>
      <c r="L16" s="343" t="s">
        <v>212</v>
      </c>
      <c r="M16" s="343" t="s">
        <v>213</v>
      </c>
      <c r="N16" s="330" t="s">
        <v>214</v>
      </c>
      <c r="O16" s="333" t="s">
        <v>215</v>
      </c>
      <c r="P16" s="294"/>
      <c r="Q16" s="294"/>
      <c r="R16" s="329" t="s">
        <v>223</v>
      </c>
      <c r="S16" s="341" t="s">
        <v>217</v>
      </c>
      <c r="T16" s="341" t="s">
        <v>218</v>
      </c>
      <c r="U16" s="359" t="s">
        <v>215</v>
      </c>
      <c r="V16" s="336" t="s">
        <v>219</v>
      </c>
    </row>
    <row r="17" spans="1:22" ht="34.5" hidden="1" customHeight="1">
      <c r="A17" s="399" t="s">
        <v>40</v>
      </c>
      <c r="B17" s="401">
        <v>1200</v>
      </c>
      <c r="C17" s="402" t="str">
        <f>'Log frame'!C17</f>
        <v>Improved commune WASH planning and coordination by local authorities.​</v>
      </c>
      <c r="D17" s="402" t="s">
        <v>51</v>
      </c>
      <c r="E17" s="401" t="s">
        <v>226</v>
      </c>
      <c r="F17" s="401" t="s">
        <v>53</v>
      </c>
      <c r="G17" s="401" t="s">
        <v>54</v>
      </c>
      <c r="H17" s="339" t="s">
        <v>227</v>
      </c>
      <c r="I17" s="339" t="str">
        <f t="shared" si="0"/>
        <v>Mattson</v>
      </c>
      <c r="J17" s="401" t="s">
        <v>228</v>
      </c>
      <c r="K17" s="403" t="s">
        <v>229</v>
      </c>
      <c r="L17" s="405" t="s">
        <v>230</v>
      </c>
      <c r="M17" s="330" t="s">
        <v>213</v>
      </c>
      <c r="N17" s="401" t="s">
        <v>218</v>
      </c>
      <c r="O17" s="333" t="s">
        <v>231</v>
      </c>
      <c r="P17" s="344" t="s">
        <v>232</v>
      </c>
      <c r="Q17" s="294" t="s">
        <v>233</v>
      </c>
      <c r="R17" s="294" t="s">
        <v>223</v>
      </c>
      <c r="S17" s="404" t="s">
        <v>217</v>
      </c>
      <c r="T17" s="404" t="s">
        <v>218</v>
      </c>
      <c r="U17" s="359" t="s">
        <v>231</v>
      </c>
      <c r="V17" s="320" t="s">
        <v>234</v>
      </c>
    </row>
    <row r="18" spans="1:22" ht="34.5" hidden="1" customHeight="1">
      <c r="A18" s="357" t="s">
        <v>16</v>
      </c>
      <c r="B18" s="339">
        <v>1210</v>
      </c>
      <c r="C18" s="345" t="str">
        <f>'Log frame'!C19</f>
        <v>Create or improve commune action plans that focus on water, sanitation and hygiene, and water resource management.​</v>
      </c>
      <c r="D18" s="340" t="s">
        <v>55</v>
      </c>
      <c r="E18" s="346" t="s">
        <v>235</v>
      </c>
      <c r="F18" s="326" t="s">
        <v>57</v>
      </c>
      <c r="G18" s="330" t="s">
        <v>58</v>
      </c>
      <c r="H18" s="339" t="s">
        <v>227</v>
      </c>
      <c r="I18" s="339" t="str">
        <f t="shared" si="0"/>
        <v>Mattson</v>
      </c>
      <c r="J18" s="326" t="s">
        <v>228</v>
      </c>
      <c r="K18" s="347" t="s">
        <v>229</v>
      </c>
      <c r="L18" s="330" t="s">
        <v>230</v>
      </c>
      <c r="M18" s="330" t="s">
        <v>213</v>
      </c>
      <c r="N18" s="326" t="s">
        <v>236</v>
      </c>
      <c r="O18" s="333" t="s">
        <v>231</v>
      </c>
      <c r="P18" s="294"/>
      <c r="Q18" s="294"/>
      <c r="R18" s="329" t="s">
        <v>223</v>
      </c>
      <c r="S18" s="341" t="s">
        <v>217</v>
      </c>
      <c r="T18" s="341" t="s">
        <v>236</v>
      </c>
      <c r="U18" s="359" t="s">
        <v>231</v>
      </c>
      <c r="V18" s="198" t="s">
        <v>237</v>
      </c>
    </row>
    <row r="19" spans="1:22" ht="34.5" hidden="1" customHeight="1">
      <c r="A19" s="357" t="s">
        <v>16</v>
      </c>
      <c r="B19" s="339">
        <v>1220</v>
      </c>
      <c r="C19" s="326" t="str">
        <f>'Log frame'!C21</f>
        <v>Facilitate coordination meetings between commune WASH stakeholders.</v>
      </c>
      <c r="D19" s="340" t="s">
        <v>59</v>
      </c>
      <c r="E19" s="326" t="s">
        <v>238</v>
      </c>
      <c r="F19" s="326" t="s">
        <v>61</v>
      </c>
      <c r="G19" s="330" t="s">
        <v>62</v>
      </c>
      <c r="H19" s="348" t="s">
        <v>209</v>
      </c>
      <c r="I19" s="348" t="str">
        <f t="shared" si="0"/>
        <v>Mattson</v>
      </c>
      <c r="J19" s="326" t="s">
        <v>210</v>
      </c>
      <c r="K19" s="333" t="s">
        <v>211</v>
      </c>
      <c r="L19" s="330" t="s">
        <v>239</v>
      </c>
      <c r="M19" s="330" t="s">
        <v>213</v>
      </c>
      <c r="N19" s="330" t="s">
        <v>214</v>
      </c>
      <c r="O19" s="333" t="s">
        <v>215</v>
      </c>
      <c r="P19" s="349"/>
      <c r="Q19" s="349"/>
      <c r="R19" s="329" t="s">
        <v>223</v>
      </c>
      <c r="S19" s="341" t="s">
        <v>217</v>
      </c>
      <c r="T19" s="341" t="s">
        <v>218</v>
      </c>
      <c r="U19" s="359" t="s">
        <v>215</v>
      </c>
      <c r="V19" s="198" t="s">
        <v>240</v>
      </c>
    </row>
    <row r="20" spans="1:22" ht="34.5" hidden="1" customHeight="1">
      <c r="A20" s="399" t="s">
        <v>40</v>
      </c>
      <c r="B20" s="405">
        <v>1300</v>
      </c>
      <c r="C20" s="405" t="str">
        <f>'Log frame'!D17</f>
        <v>Improved accountability of service providers to users of WASH services.​</v>
      </c>
      <c r="D20" s="402" t="s">
        <v>63</v>
      </c>
      <c r="E20" s="405" t="s">
        <v>241</v>
      </c>
      <c r="F20" s="401" t="s">
        <v>65</v>
      </c>
      <c r="G20" s="405" t="s">
        <v>66</v>
      </c>
      <c r="H20" s="330" t="s">
        <v>227</v>
      </c>
      <c r="I20" s="330" t="s">
        <v>222</v>
      </c>
      <c r="J20" s="405" t="s">
        <v>242</v>
      </c>
      <c r="K20" s="406" t="s">
        <v>243</v>
      </c>
      <c r="L20" s="405" t="s">
        <v>244</v>
      </c>
      <c r="M20" s="330" t="s">
        <v>213</v>
      </c>
      <c r="N20" s="407" t="s">
        <v>214</v>
      </c>
      <c r="O20" s="350" t="s">
        <v>215</v>
      </c>
      <c r="P20" s="330"/>
      <c r="Q20" s="330"/>
      <c r="R20" s="350" t="s">
        <v>245</v>
      </c>
      <c r="S20" s="405" t="s">
        <v>246</v>
      </c>
      <c r="T20" s="405" t="s">
        <v>218</v>
      </c>
      <c r="U20" s="361" t="s">
        <v>247</v>
      </c>
      <c r="V20" s="328" t="s">
        <v>248</v>
      </c>
    </row>
    <row r="21" spans="1:22" ht="34.5" hidden="1" customHeight="1">
      <c r="A21" s="399" t="s">
        <v>40</v>
      </c>
      <c r="B21" s="405">
        <v>1300</v>
      </c>
      <c r="C21" s="405" t="str">
        <f>'Log frame'!D17</f>
        <v>Improved accountability of service providers to users of WASH services.​</v>
      </c>
      <c r="D21" s="402" t="s">
        <v>67</v>
      </c>
      <c r="E21" s="405" t="s">
        <v>249</v>
      </c>
      <c r="F21" s="402" t="s">
        <v>68</v>
      </c>
      <c r="G21" s="405" t="s">
        <v>69</v>
      </c>
      <c r="H21" s="330" t="s">
        <v>227</v>
      </c>
      <c r="I21" s="330" t="str">
        <f t="shared" si="0"/>
        <v>Mattson</v>
      </c>
      <c r="J21" s="405" t="s">
        <v>250</v>
      </c>
      <c r="K21" s="406" t="s">
        <v>251</v>
      </c>
      <c r="L21" s="405" t="s">
        <v>252</v>
      </c>
      <c r="M21" s="330" t="s">
        <v>213</v>
      </c>
      <c r="N21" s="405" t="s">
        <v>236</v>
      </c>
      <c r="O21" s="350" t="s">
        <v>215</v>
      </c>
      <c r="P21" s="330" t="s">
        <v>253</v>
      </c>
      <c r="Q21" s="330"/>
      <c r="R21" s="350" t="s">
        <v>245</v>
      </c>
      <c r="S21" s="405" t="s">
        <v>246</v>
      </c>
      <c r="T21" s="405" t="s">
        <v>236</v>
      </c>
      <c r="U21" s="361" t="s">
        <v>247</v>
      </c>
      <c r="V21" s="332" t="s">
        <v>248</v>
      </c>
    </row>
    <row r="22" spans="1:22" ht="34.5" customHeight="1">
      <c r="A22" s="399" t="s">
        <v>40</v>
      </c>
      <c r="B22" s="405">
        <v>1300</v>
      </c>
      <c r="C22" s="405" t="s">
        <v>64</v>
      </c>
      <c r="D22" s="402" t="s">
        <v>70</v>
      </c>
      <c r="E22" s="405" t="s">
        <v>254</v>
      </c>
      <c r="F22" s="405" t="s">
        <v>71</v>
      </c>
      <c r="G22" s="405" t="s">
        <v>72</v>
      </c>
      <c r="H22" s="330" t="s">
        <v>221</v>
      </c>
      <c r="I22" s="330" t="s">
        <v>222</v>
      </c>
      <c r="J22" s="405" t="s">
        <v>255</v>
      </c>
      <c r="K22" s="406" t="s">
        <v>256</v>
      </c>
      <c r="L22" s="405" t="s">
        <v>257</v>
      </c>
      <c r="M22" s="330" t="s">
        <v>258</v>
      </c>
      <c r="N22" s="405" t="s">
        <v>236</v>
      </c>
      <c r="O22" s="350" t="s">
        <v>215</v>
      </c>
      <c r="P22" s="350" t="s">
        <v>245</v>
      </c>
      <c r="Q22" s="330" t="s">
        <v>259</v>
      </c>
      <c r="R22" s="330" t="s">
        <v>260</v>
      </c>
      <c r="S22" s="405" t="s">
        <v>246</v>
      </c>
      <c r="T22" s="405" t="s">
        <v>236</v>
      </c>
      <c r="U22" s="360" t="s">
        <v>215</v>
      </c>
      <c r="V22" s="335"/>
    </row>
    <row r="23" spans="1:22" ht="34.5" customHeight="1">
      <c r="A23" s="357" t="s">
        <v>16</v>
      </c>
      <c r="B23" s="339">
        <v>1310</v>
      </c>
      <c r="C23" s="351" t="str">
        <f>'Log frame'!D19</f>
        <v>Monitor WASH service performance and satisfaction.</v>
      </c>
      <c r="D23" s="340" t="s">
        <v>73</v>
      </c>
      <c r="E23" s="326" t="s">
        <v>261</v>
      </c>
      <c r="F23" s="340" t="s">
        <v>75</v>
      </c>
      <c r="G23" s="352" t="s">
        <v>76</v>
      </c>
      <c r="H23" s="348" t="s">
        <v>221</v>
      </c>
      <c r="I23" s="348" t="str">
        <f t="shared" si="0"/>
        <v>Mattson</v>
      </c>
      <c r="J23" s="326" t="s">
        <v>262</v>
      </c>
      <c r="K23" s="333" t="s">
        <v>263</v>
      </c>
      <c r="L23" s="330" t="s">
        <v>264</v>
      </c>
      <c r="M23" s="330" t="s">
        <v>213</v>
      </c>
      <c r="N23" s="330" t="s">
        <v>214</v>
      </c>
      <c r="O23" s="333" t="s">
        <v>215</v>
      </c>
      <c r="P23" s="294"/>
      <c r="Q23" s="294"/>
      <c r="R23" s="329" t="s">
        <v>223</v>
      </c>
      <c r="S23" s="341" t="s">
        <v>246</v>
      </c>
      <c r="T23" s="341" t="s">
        <v>218</v>
      </c>
      <c r="U23" s="359" t="s">
        <v>215</v>
      </c>
      <c r="V23" s="327" t="s">
        <v>240</v>
      </c>
    </row>
    <row r="24" spans="1:22" ht="34.5" customHeight="1">
      <c r="A24" s="357" t="s">
        <v>16</v>
      </c>
      <c r="B24" s="339">
        <v>1310</v>
      </c>
      <c r="C24" s="351" t="str">
        <f>C23</f>
        <v>Monitor WASH service performance and satisfaction.</v>
      </c>
      <c r="D24" s="340" t="s">
        <v>77</v>
      </c>
      <c r="E24" s="326" t="s">
        <v>265</v>
      </c>
      <c r="F24" s="340" t="s">
        <v>78</v>
      </c>
      <c r="G24" s="352" t="s">
        <v>76</v>
      </c>
      <c r="H24" s="348" t="s">
        <v>221</v>
      </c>
      <c r="I24" s="348" t="str">
        <f t="shared" si="0"/>
        <v>Mattson</v>
      </c>
      <c r="J24" s="326" t="s">
        <v>262</v>
      </c>
      <c r="K24" s="333" t="s">
        <v>263</v>
      </c>
      <c r="L24" s="330" t="s">
        <v>264</v>
      </c>
      <c r="M24" s="330" t="s">
        <v>213</v>
      </c>
      <c r="N24" s="330" t="s">
        <v>214</v>
      </c>
      <c r="O24" s="333" t="s">
        <v>215</v>
      </c>
      <c r="P24" s="294"/>
      <c r="Q24" s="294"/>
      <c r="R24" s="329" t="s">
        <v>223</v>
      </c>
      <c r="S24" s="341" t="s">
        <v>246</v>
      </c>
      <c r="T24" s="341" t="s">
        <v>218</v>
      </c>
      <c r="U24" s="359" t="s">
        <v>215</v>
      </c>
      <c r="V24" s="327" t="s">
        <v>240</v>
      </c>
    </row>
    <row r="25" spans="1:22" ht="46.5" hidden="1">
      <c r="A25" s="357" t="s">
        <v>16</v>
      </c>
      <c r="B25" s="339">
        <v>1310</v>
      </c>
      <c r="C25" s="351" t="str">
        <f>C24</f>
        <v>Monitor WASH service performance and satisfaction.</v>
      </c>
      <c r="D25" s="340" t="s">
        <v>79</v>
      </c>
      <c r="E25" s="326" t="s">
        <v>266</v>
      </c>
      <c r="F25" s="340" t="s">
        <v>80</v>
      </c>
      <c r="G25" s="330" t="s">
        <v>81</v>
      </c>
      <c r="H25" s="348"/>
      <c r="I25" s="348"/>
      <c r="J25" s="326"/>
      <c r="K25" s="333" t="s">
        <v>267</v>
      </c>
      <c r="L25" s="330" t="s">
        <v>244</v>
      </c>
      <c r="M25" s="330"/>
      <c r="N25" s="330" t="s">
        <v>268</v>
      </c>
      <c r="O25" s="333"/>
      <c r="P25" s="294"/>
      <c r="Q25" s="294"/>
      <c r="R25" s="329" t="s">
        <v>269</v>
      </c>
      <c r="S25" s="341" t="s">
        <v>270</v>
      </c>
      <c r="T25" s="341" t="s">
        <v>218</v>
      </c>
      <c r="U25" s="359"/>
      <c r="V25" s="327"/>
    </row>
    <row r="26" spans="1:22" ht="62.1">
      <c r="A26" s="357" t="s">
        <v>16</v>
      </c>
      <c r="B26" s="339">
        <v>1310</v>
      </c>
      <c r="C26" s="351" t="str">
        <f>C25</f>
        <v>Monitor WASH service performance and satisfaction.</v>
      </c>
      <c r="D26" s="340" t="s">
        <v>82</v>
      </c>
      <c r="E26" s="326" t="s">
        <v>271</v>
      </c>
      <c r="F26" s="340" t="s">
        <v>83</v>
      </c>
      <c r="G26" s="330" t="s">
        <v>84</v>
      </c>
      <c r="H26" s="348"/>
      <c r="I26" s="348"/>
      <c r="J26" s="326" t="s">
        <v>272</v>
      </c>
      <c r="K26" s="333" t="s">
        <v>263</v>
      </c>
      <c r="L26" s="330" t="s">
        <v>257</v>
      </c>
      <c r="M26" s="330" t="s">
        <v>213</v>
      </c>
      <c r="N26" s="330" t="s">
        <v>214</v>
      </c>
      <c r="O26" s="333"/>
      <c r="P26" s="294"/>
      <c r="Q26" s="294"/>
      <c r="R26" s="329"/>
      <c r="S26" s="341" t="s">
        <v>246</v>
      </c>
      <c r="T26" s="341" t="s">
        <v>218</v>
      </c>
      <c r="U26" s="359"/>
      <c r="V26" s="327"/>
    </row>
    <row r="27" spans="1:22" ht="99" customHeight="1">
      <c r="A27" s="357" t="s">
        <v>16</v>
      </c>
      <c r="B27" s="339">
        <v>1320</v>
      </c>
      <c r="C27" s="351" t="str">
        <f>'Log frame'!D21</f>
        <v>Review service provider performance with stakeholders.</v>
      </c>
      <c r="D27" s="340" t="s">
        <v>85</v>
      </c>
      <c r="E27" s="326" t="s">
        <v>273</v>
      </c>
      <c r="F27" s="340" t="s">
        <v>87</v>
      </c>
      <c r="G27" s="352" t="s">
        <v>58</v>
      </c>
      <c r="H27" s="326" t="s">
        <v>227</v>
      </c>
      <c r="I27" s="326" t="str">
        <f t="shared" si="0"/>
        <v>Mattson</v>
      </c>
      <c r="J27" s="326" t="s">
        <v>262</v>
      </c>
      <c r="K27" s="349" t="s">
        <v>274</v>
      </c>
      <c r="L27" s="330" t="s">
        <v>275</v>
      </c>
      <c r="M27" s="352" t="s">
        <v>213</v>
      </c>
      <c r="N27" s="330" t="s">
        <v>236</v>
      </c>
      <c r="O27" s="333" t="s">
        <v>215</v>
      </c>
      <c r="P27" s="294"/>
      <c r="Q27" s="294"/>
      <c r="R27" s="294" t="s">
        <v>36</v>
      </c>
      <c r="S27" s="341" t="s">
        <v>246</v>
      </c>
      <c r="T27" s="294" t="s">
        <v>236</v>
      </c>
      <c r="U27" s="359" t="s">
        <v>215</v>
      </c>
      <c r="V27" s="198" t="s">
        <v>240</v>
      </c>
    </row>
    <row r="28" spans="1:22" ht="34.5" hidden="1" customHeight="1">
      <c r="A28" s="393" t="s">
        <v>37</v>
      </c>
      <c r="B28" s="394">
        <v>2000</v>
      </c>
      <c r="C28" s="396" t="str">
        <f>'Log frame'!E15</f>
        <v>Enhanced household access to and use of sustainable, affordable, and safe water, sanitation and hygiene services.​</v>
      </c>
      <c r="D28" s="397" t="s">
        <v>36</v>
      </c>
      <c r="E28" s="395" t="s">
        <v>36</v>
      </c>
      <c r="F28" s="395" t="s">
        <v>36</v>
      </c>
      <c r="G28" s="395" t="s">
        <v>36</v>
      </c>
      <c r="H28" s="326" t="s">
        <v>36</v>
      </c>
      <c r="I28" s="326" t="str">
        <f t="shared" si="0"/>
        <v>Mattson</v>
      </c>
      <c r="J28" s="395" t="s">
        <v>36</v>
      </c>
      <c r="K28" s="395" t="s">
        <v>36</v>
      </c>
      <c r="L28" s="395" t="s">
        <v>36</v>
      </c>
      <c r="M28" s="326"/>
      <c r="N28" s="395" t="s">
        <v>36</v>
      </c>
      <c r="O28" s="326" t="s">
        <v>36</v>
      </c>
      <c r="P28" s="326" t="s">
        <v>36</v>
      </c>
      <c r="Q28" s="326" t="s">
        <v>36</v>
      </c>
      <c r="R28" s="326" t="s">
        <v>36</v>
      </c>
      <c r="S28" s="395" t="s">
        <v>36</v>
      </c>
      <c r="T28" s="395" t="s">
        <v>36</v>
      </c>
      <c r="U28" s="358" t="s">
        <v>36</v>
      </c>
      <c r="V28" s="136" t="s">
        <v>207</v>
      </c>
    </row>
    <row r="29" spans="1:22" ht="34.5" hidden="1" customHeight="1">
      <c r="A29" s="399" t="s">
        <v>40</v>
      </c>
      <c r="B29" s="401">
        <v>2100</v>
      </c>
      <c r="C29" s="408" t="str">
        <f>'Log frame'!E17</f>
        <v>Increased household access to sustainable, affordable, and safe drinking water services.​</v>
      </c>
      <c r="D29" s="402" t="s">
        <v>89</v>
      </c>
      <c r="E29" s="401" t="s">
        <v>276</v>
      </c>
      <c r="F29" s="402" t="s">
        <v>91</v>
      </c>
      <c r="G29" s="409" t="s">
        <v>92</v>
      </c>
      <c r="H29" s="348" t="s">
        <v>209</v>
      </c>
      <c r="I29" s="348" t="str">
        <f t="shared" si="0"/>
        <v>Mattson</v>
      </c>
      <c r="J29" s="401" t="s">
        <v>277</v>
      </c>
      <c r="K29" s="410" t="s">
        <v>278</v>
      </c>
      <c r="L29" s="405" t="s">
        <v>279</v>
      </c>
      <c r="M29" s="330" t="s">
        <v>258</v>
      </c>
      <c r="N29" s="405" t="s">
        <v>236</v>
      </c>
      <c r="O29" s="333" t="s">
        <v>215</v>
      </c>
      <c r="P29" s="294"/>
      <c r="Q29" s="294"/>
      <c r="R29" s="331" t="s">
        <v>280</v>
      </c>
      <c r="S29" s="404" t="s">
        <v>246</v>
      </c>
      <c r="T29" s="404" t="s">
        <v>236</v>
      </c>
      <c r="U29" s="362" t="s">
        <v>247</v>
      </c>
      <c r="V29" s="198" t="s">
        <v>281</v>
      </c>
    </row>
    <row r="30" spans="1:22" ht="34.5" hidden="1" customHeight="1">
      <c r="A30" s="399" t="s">
        <v>40</v>
      </c>
      <c r="B30" s="401">
        <v>2100</v>
      </c>
      <c r="C30" s="408" t="str">
        <f>'Log frame'!E17</f>
        <v>Increased household access to sustainable, affordable, and safe drinking water services.​</v>
      </c>
      <c r="D30" s="402" t="s">
        <v>93</v>
      </c>
      <c r="E30" s="401" t="s">
        <v>282</v>
      </c>
      <c r="F30" s="402" t="s">
        <v>94</v>
      </c>
      <c r="G30" s="409" t="s">
        <v>92</v>
      </c>
      <c r="H30" s="348" t="s">
        <v>209</v>
      </c>
      <c r="I30" s="348" t="str">
        <f t="shared" si="0"/>
        <v>Mattson</v>
      </c>
      <c r="J30" s="401" t="s">
        <v>283</v>
      </c>
      <c r="K30" s="410" t="s">
        <v>278</v>
      </c>
      <c r="L30" s="405" t="s">
        <v>279</v>
      </c>
      <c r="M30" s="330" t="s">
        <v>258</v>
      </c>
      <c r="N30" s="405" t="s">
        <v>236</v>
      </c>
      <c r="O30" s="333" t="s">
        <v>215</v>
      </c>
      <c r="P30" s="294"/>
      <c r="Q30" s="294"/>
      <c r="R30" s="331" t="s">
        <v>280</v>
      </c>
      <c r="S30" s="404" t="s">
        <v>246</v>
      </c>
      <c r="T30" s="404" t="s">
        <v>236</v>
      </c>
      <c r="U30" s="362" t="s">
        <v>247</v>
      </c>
      <c r="V30" s="198" t="s">
        <v>281</v>
      </c>
    </row>
    <row r="31" spans="1:22" ht="34.5" hidden="1" customHeight="1">
      <c r="A31" s="399" t="s">
        <v>40</v>
      </c>
      <c r="B31" s="401">
        <v>2100</v>
      </c>
      <c r="C31" s="408" t="str">
        <f>'Log frame'!E17</f>
        <v>Increased household access to sustainable, affordable, and safe drinking water services.​</v>
      </c>
      <c r="D31" s="402" t="s">
        <v>95</v>
      </c>
      <c r="E31" s="402" t="s">
        <v>284</v>
      </c>
      <c r="F31" s="402" t="s">
        <v>96</v>
      </c>
      <c r="G31" s="401" t="s">
        <v>69</v>
      </c>
      <c r="H31" s="348" t="s">
        <v>227</v>
      </c>
      <c r="I31" s="348" t="str">
        <f t="shared" si="0"/>
        <v>Mattson</v>
      </c>
      <c r="J31" s="407" t="s">
        <v>228</v>
      </c>
      <c r="K31" s="403" t="s">
        <v>253</v>
      </c>
      <c r="L31" s="407" t="s">
        <v>279</v>
      </c>
      <c r="M31" s="348" t="s">
        <v>258</v>
      </c>
      <c r="N31" s="405" t="s">
        <v>218</v>
      </c>
      <c r="O31" s="333" t="s">
        <v>215</v>
      </c>
      <c r="P31" s="348"/>
      <c r="Q31" s="348"/>
      <c r="R31" s="350" t="s">
        <v>245</v>
      </c>
      <c r="S31" s="404" t="s">
        <v>246</v>
      </c>
      <c r="T31" s="404" t="s">
        <v>236</v>
      </c>
      <c r="U31" s="362" t="s">
        <v>247</v>
      </c>
      <c r="V31" s="328" t="s">
        <v>248</v>
      </c>
    </row>
    <row r="32" spans="1:22" ht="34.5" hidden="1" customHeight="1">
      <c r="A32" s="357" t="s">
        <v>16</v>
      </c>
      <c r="B32" s="326">
        <v>2110</v>
      </c>
      <c r="C32" s="345" t="str">
        <f>'Log frame'!E19</f>
        <v xml:space="preserve">Develop community managed water points. </v>
      </c>
      <c r="D32" s="340" t="s">
        <v>97</v>
      </c>
      <c r="E32" s="326" t="s">
        <v>285</v>
      </c>
      <c r="F32" s="340" t="s">
        <v>99</v>
      </c>
      <c r="G32" s="352" t="s">
        <v>100</v>
      </c>
      <c r="H32" s="348" t="s">
        <v>209</v>
      </c>
      <c r="I32" s="348" t="str">
        <f t="shared" si="0"/>
        <v>Mattson</v>
      </c>
      <c r="J32" s="353" t="s">
        <v>286</v>
      </c>
      <c r="K32" s="333" t="s">
        <v>253</v>
      </c>
      <c r="L32" s="330" t="s">
        <v>279</v>
      </c>
      <c r="M32" s="330" t="s">
        <v>258</v>
      </c>
      <c r="N32" s="330" t="s">
        <v>218</v>
      </c>
      <c r="O32" s="333" t="s">
        <v>215</v>
      </c>
      <c r="P32" s="294"/>
      <c r="Q32" s="294"/>
      <c r="R32" s="331" t="s">
        <v>280</v>
      </c>
      <c r="S32" s="341" t="s">
        <v>217</v>
      </c>
      <c r="T32" s="341" t="s">
        <v>218</v>
      </c>
      <c r="U32" s="362" t="s">
        <v>247</v>
      </c>
      <c r="V32" s="198" t="s">
        <v>281</v>
      </c>
    </row>
    <row r="33" spans="1:22" ht="34.5" hidden="1" customHeight="1">
      <c r="A33" s="357" t="s">
        <v>16</v>
      </c>
      <c r="B33" s="326">
        <v>2120</v>
      </c>
      <c r="C33" s="345" t="str">
        <f>'Log frame'!E21</f>
        <v>Rehabilitate and expand professionally operated piped water systems.</v>
      </c>
      <c r="D33" s="340" t="s">
        <v>101</v>
      </c>
      <c r="E33" s="326" t="s">
        <v>287</v>
      </c>
      <c r="F33" s="340" t="s">
        <v>103</v>
      </c>
      <c r="G33" s="352" t="s">
        <v>100</v>
      </c>
      <c r="H33" s="348" t="s">
        <v>209</v>
      </c>
      <c r="I33" s="348" t="str">
        <f t="shared" si="0"/>
        <v>Mattson</v>
      </c>
      <c r="J33" s="353" t="s">
        <v>288</v>
      </c>
      <c r="K33" s="333" t="s">
        <v>274</v>
      </c>
      <c r="L33" s="330" t="s">
        <v>279</v>
      </c>
      <c r="M33" s="330" t="s">
        <v>213</v>
      </c>
      <c r="N33" s="330" t="s">
        <v>218</v>
      </c>
      <c r="O33" s="333" t="s">
        <v>215</v>
      </c>
      <c r="P33" s="294"/>
      <c r="Q33" s="294"/>
      <c r="R33" s="331" t="s">
        <v>280</v>
      </c>
      <c r="S33" s="341" t="s">
        <v>217</v>
      </c>
      <c r="T33" s="341" t="s">
        <v>218</v>
      </c>
      <c r="U33" s="362" t="s">
        <v>247</v>
      </c>
      <c r="V33" s="198" t="s">
        <v>281</v>
      </c>
    </row>
    <row r="34" spans="1:22" ht="34.5" hidden="1" customHeight="1">
      <c r="A34" s="399" t="s">
        <v>40</v>
      </c>
      <c r="B34" s="401">
        <v>2200</v>
      </c>
      <c r="C34" s="408" t="str">
        <f>'Log frame'!F17</f>
        <v>Increased household access to sustainable, affordable, and safe sanitation services.​</v>
      </c>
      <c r="D34" s="402" t="s">
        <v>104</v>
      </c>
      <c r="E34" s="401" t="s">
        <v>289</v>
      </c>
      <c r="F34" s="411" t="s">
        <v>106</v>
      </c>
      <c r="G34" s="401" t="s">
        <v>107</v>
      </c>
      <c r="H34" s="348" t="s">
        <v>209</v>
      </c>
      <c r="I34" s="348" t="str">
        <f t="shared" si="0"/>
        <v>Mattson</v>
      </c>
      <c r="J34" s="401" t="s">
        <v>228</v>
      </c>
      <c r="K34" s="403" t="s">
        <v>290</v>
      </c>
      <c r="L34" s="405" t="s">
        <v>233</v>
      </c>
      <c r="M34" s="330" t="s">
        <v>258</v>
      </c>
      <c r="N34" s="405" t="s">
        <v>218</v>
      </c>
      <c r="O34" s="333" t="s">
        <v>215</v>
      </c>
      <c r="P34" s="294"/>
      <c r="Q34" s="294"/>
      <c r="R34" s="331" t="s">
        <v>280</v>
      </c>
      <c r="S34" s="404" t="s">
        <v>291</v>
      </c>
      <c r="T34" s="404" t="s">
        <v>218</v>
      </c>
      <c r="U34" s="362" t="s">
        <v>247</v>
      </c>
      <c r="V34" s="198" t="s">
        <v>281</v>
      </c>
    </row>
    <row r="35" spans="1:22" ht="34.5" hidden="1" customHeight="1">
      <c r="A35" s="399" t="s">
        <v>40</v>
      </c>
      <c r="B35" s="401">
        <v>2200</v>
      </c>
      <c r="C35" s="408" t="str">
        <f>C34</f>
        <v>Increased household access to sustainable, affordable, and safe sanitation services.​</v>
      </c>
      <c r="D35" s="402" t="s">
        <v>108</v>
      </c>
      <c r="E35" s="401" t="s">
        <v>292</v>
      </c>
      <c r="F35" s="402" t="s">
        <v>109</v>
      </c>
      <c r="G35" s="405" t="s">
        <v>107</v>
      </c>
      <c r="H35" s="348" t="s">
        <v>209</v>
      </c>
      <c r="I35" s="348" t="str">
        <f t="shared" si="0"/>
        <v>Mattson</v>
      </c>
      <c r="J35" s="402" t="s">
        <v>293</v>
      </c>
      <c r="K35" s="403" t="s">
        <v>290</v>
      </c>
      <c r="L35" s="405" t="s">
        <v>294</v>
      </c>
      <c r="M35" s="330" t="s">
        <v>258</v>
      </c>
      <c r="N35" s="405" t="s">
        <v>236</v>
      </c>
      <c r="O35" s="333" t="s">
        <v>215</v>
      </c>
      <c r="P35" s="294"/>
      <c r="Q35" s="294"/>
      <c r="R35" s="331" t="s">
        <v>280</v>
      </c>
      <c r="S35" s="404" t="s">
        <v>246</v>
      </c>
      <c r="T35" s="404" t="s">
        <v>236</v>
      </c>
      <c r="U35" s="362" t="s">
        <v>247</v>
      </c>
      <c r="V35" s="198" t="s">
        <v>281</v>
      </c>
    </row>
    <row r="36" spans="1:22" ht="34.5" hidden="1" customHeight="1">
      <c r="A36" s="399" t="s">
        <v>40</v>
      </c>
      <c r="B36" s="401">
        <v>2200</v>
      </c>
      <c r="C36" s="408" t="str">
        <f>'Log frame'!F17</f>
        <v>Increased household access to sustainable, affordable, and safe sanitation services.​</v>
      </c>
      <c r="D36" s="402" t="s">
        <v>110</v>
      </c>
      <c r="E36" s="401" t="s">
        <v>295</v>
      </c>
      <c r="F36" s="402" t="s">
        <v>111</v>
      </c>
      <c r="G36" s="405" t="s">
        <v>112</v>
      </c>
      <c r="H36" s="326" t="s">
        <v>296</v>
      </c>
      <c r="I36" s="326" t="str">
        <f t="shared" si="0"/>
        <v>Mattson</v>
      </c>
      <c r="J36" s="401" t="s">
        <v>297</v>
      </c>
      <c r="K36" s="410" t="s">
        <v>278</v>
      </c>
      <c r="L36" s="405" t="s">
        <v>279</v>
      </c>
      <c r="M36" s="330" t="s">
        <v>258</v>
      </c>
      <c r="N36" s="405" t="s">
        <v>298</v>
      </c>
      <c r="O36" s="333" t="s">
        <v>215</v>
      </c>
      <c r="P36" s="294"/>
      <c r="Q36" s="294"/>
      <c r="R36" s="331" t="s">
        <v>280</v>
      </c>
      <c r="S36" s="412" t="s">
        <v>299</v>
      </c>
      <c r="T36" s="404" t="s">
        <v>236</v>
      </c>
      <c r="U36" s="362" t="s">
        <v>247</v>
      </c>
      <c r="V36" s="198" t="s">
        <v>281</v>
      </c>
    </row>
    <row r="37" spans="1:22" ht="34.5" hidden="1" customHeight="1">
      <c r="A37" s="357" t="s">
        <v>16</v>
      </c>
      <c r="B37" s="339">
        <v>2210</v>
      </c>
      <c r="C37" s="345" t="str">
        <f>'Log frame'!F19</f>
        <v>Mobilize communities to achieve Open Defecation Free status</v>
      </c>
      <c r="D37" s="340" t="s">
        <v>113</v>
      </c>
      <c r="E37" s="342" t="s">
        <v>300</v>
      </c>
      <c r="F37" s="340" t="s">
        <v>115</v>
      </c>
      <c r="G37" s="352" t="s">
        <v>100</v>
      </c>
      <c r="H37" s="326" t="s">
        <v>296</v>
      </c>
      <c r="I37" s="326" t="str">
        <f t="shared" si="0"/>
        <v>Mattson</v>
      </c>
      <c r="J37" s="326" t="s">
        <v>297</v>
      </c>
      <c r="K37" s="331" t="s">
        <v>278</v>
      </c>
      <c r="L37" s="326" t="s">
        <v>279</v>
      </c>
      <c r="M37" s="326" t="s">
        <v>258</v>
      </c>
      <c r="N37" s="330" t="s">
        <v>214</v>
      </c>
      <c r="O37" s="333" t="s">
        <v>215</v>
      </c>
      <c r="P37" s="294"/>
      <c r="Q37" s="294"/>
      <c r="R37" s="331" t="s">
        <v>280</v>
      </c>
      <c r="S37" s="341" t="s">
        <v>217</v>
      </c>
      <c r="T37" s="341" t="s">
        <v>218</v>
      </c>
      <c r="U37" s="362" t="s">
        <v>247</v>
      </c>
      <c r="V37" s="198" t="s">
        <v>281</v>
      </c>
    </row>
    <row r="38" spans="1:22" ht="34.5" hidden="1" customHeight="1">
      <c r="A38" s="357" t="s">
        <v>16</v>
      </c>
      <c r="B38" s="339">
        <v>2230</v>
      </c>
      <c r="C38" s="345" t="str">
        <f>'Log frame'!F23</f>
        <v>Construct public latrines.</v>
      </c>
      <c r="D38" s="340" t="s">
        <v>116</v>
      </c>
      <c r="E38" s="326" t="s">
        <v>301</v>
      </c>
      <c r="F38" s="326" t="s">
        <v>118</v>
      </c>
      <c r="G38" s="352" t="s">
        <v>119</v>
      </c>
      <c r="H38" s="348" t="s">
        <v>209</v>
      </c>
      <c r="I38" s="348" t="s">
        <v>302</v>
      </c>
      <c r="J38" s="340" t="s">
        <v>293</v>
      </c>
      <c r="K38" s="331" t="s">
        <v>303</v>
      </c>
      <c r="L38" s="330" t="s">
        <v>279</v>
      </c>
      <c r="M38" s="330" t="s">
        <v>213</v>
      </c>
      <c r="N38" s="330" t="s">
        <v>218</v>
      </c>
      <c r="O38" s="333" t="s">
        <v>215</v>
      </c>
      <c r="P38" s="294"/>
      <c r="Q38" s="294"/>
      <c r="R38" s="331" t="s">
        <v>280</v>
      </c>
      <c r="S38" s="341" t="s">
        <v>246</v>
      </c>
      <c r="T38" s="341" t="s">
        <v>218</v>
      </c>
      <c r="U38" s="362" t="s">
        <v>247</v>
      </c>
      <c r="V38" s="198" t="s">
        <v>304</v>
      </c>
    </row>
    <row r="39" spans="1:22" ht="34.5" hidden="1" customHeight="1">
      <c r="A39" s="399" t="s">
        <v>40</v>
      </c>
      <c r="B39" s="401">
        <v>2300</v>
      </c>
      <c r="C39" s="402" t="str">
        <f>'Log frame'!G17</f>
        <v>Increased household access to hygiene services.</v>
      </c>
      <c r="D39" s="402" t="s">
        <v>120</v>
      </c>
      <c r="E39" s="401" t="s">
        <v>305</v>
      </c>
      <c r="F39" s="402" t="s">
        <v>122</v>
      </c>
      <c r="G39" s="409" t="s">
        <v>123</v>
      </c>
      <c r="H39" s="326" t="s">
        <v>227</v>
      </c>
      <c r="I39" s="326" t="str">
        <f t="shared" si="0"/>
        <v>Mattson</v>
      </c>
      <c r="J39" s="413" t="s">
        <v>306</v>
      </c>
      <c r="K39" s="410" t="s">
        <v>278</v>
      </c>
      <c r="L39" s="405" t="s">
        <v>279</v>
      </c>
      <c r="M39" s="330" t="s">
        <v>258</v>
      </c>
      <c r="N39" s="405" t="s">
        <v>298</v>
      </c>
      <c r="O39" s="333" t="s">
        <v>215</v>
      </c>
      <c r="P39" s="294"/>
      <c r="Q39" s="294"/>
      <c r="R39" s="331" t="s">
        <v>280</v>
      </c>
      <c r="S39" s="412" t="s">
        <v>299</v>
      </c>
      <c r="T39" s="404" t="s">
        <v>218</v>
      </c>
      <c r="U39" s="362" t="s">
        <v>247</v>
      </c>
      <c r="V39" s="198" t="s">
        <v>307</v>
      </c>
    </row>
    <row r="40" spans="1:22" ht="34.5" hidden="1" customHeight="1">
      <c r="A40" s="357" t="s">
        <v>16</v>
      </c>
      <c r="B40" s="339">
        <v>2310</v>
      </c>
      <c r="C40" s="326" t="str">
        <f>'Log frame'!G19</f>
        <v>Train skilled community animators to deliver hygiene trainings and community mobilization.​</v>
      </c>
      <c r="D40" s="340" t="s">
        <v>124</v>
      </c>
      <c r="E40" s="326" t="s">
        <v>308</v>
      </c>
      <c r="F40" s="326" t="s">
        <v>126</v>
      </c>
      <c r="G40" s="352" t="s">
        <v>127</v>
      </c>
      <c r="H40" s="326" t="s">
        <v>227</v>
      </c>
      <c r="I40" s="326" t="str">
        <f t="shared" si="0"/>
        <v>Mattson</v>
      </c>
      <c r="J40" s="326" t="s">
        <v>228</v>
      </c>
      <c r="K40" s="333" t="s">
        <v>309</v>
      </c>
      <c r="L40" s="330" t="s">
        <v>279</v>
      </c>
      <c r="M40" s="330" t="s">
        <v>258</v>
      </c>
      <c r="N40" s="330" t="s">
        <v>268</v>
      </c>
      <c r="O40" s="333" t="s">
        <v>215</v>
      </c>
      <c r="P40" s="294"/>
      <c r="Q40" s="294"/>
      <c r="R40" s="330" t="s">
        <v>223</v>
      </c>
      <c r="S40" s="341" t="s">
        <v>291</v>
      </c>
      <c r="T40" s="341" t="s">
        <v>218</v>
      </c>
      <c r="U40" s="359" t="s">
        <v>215</v>
      </c>
      <c r="V40" s="198" t="s">
        <v>240</v>
      </c>
    </row>
    <row r="41" spans="1:22" ht="34.5" hidden="1" customHeight="1">
      <c r="A41" s="357" t="s">
        <v>16</v>
      </c>
      <c r="B41" s="339">
        <v>2310</v>
      </c>
      <c r="C41" s="326" t="s">
        <v>125</v>
      </c>
      <c r="D41" s="326" t="s">
        <v>128</v>
      </c>
      <c r="E41" s="326" t="s">
        <v>310</v>
      </c>
      <c r="F41" s="326" t="s">
        <v>129</v>
      </c>
      <c r="G41" s="352" t="s">
        <v>130</v>
      </c>
      <c r="H41" s="326" t="s">
        <v>221</v>
      </c>
      <c r="I41" s="326" t="s">
        <v>222</v>
      </c>
      <c r="J41" s="326" t="s">
        <v>311</v>
      </c>
      <c r="K41" s="333" t="s">
        <v>312</v>
      </c>
      <c r="L41" s="330" t="s">
        <v>279</v>
      </c>
      <c r="M41" s="330" t="s">
        <v>213</v>
      </c>
      <c r="N41" s="330" t="s">
        <v>214</v>
      </c>
      <c r="O41" s="333" t="s">
        <v>215</v>
      </c>
      <c r="P41" s="330" t="s">
        <v>223</v>
      </c>
      <c r="Q41" s="341" t="s">
        <v>259</v>
      </c>
      <c r="R41" s="330" t="s">
        <v>223</v>
      </c>
      <c r="S41" s="341" t="s">
        <v>217</v>
      </c>
      <c r="T41" s="341" t="s">
        <v>218</v>
      </c>
      <c r="U41" s="359" t="s">
        <v>215</v>
      </c>
      <c r="V41"/>
    </row>
    <row r="42" spans="1:22" ht="34.5" hidden="1" customHeight="1">
      <c r="A42" s="357" t="s">
        <v>16</v>
      </c>
      <c r="B42" s="339">
        <v>2320</v>
      </c>
      <c r="C42" s="345" t="str">
        <f>'Log frame'!G21</f>
        <v>Certify the sustained usage of hygiene services.</v>
      </c>
      <c r="D42" s="326" t="s">
        <v>131</v>
      </c>
      <c r="E42" s="326" t="s">
        <v>313</v>
      </c>
      <c r="F42" s="340" t="s">
        <v>132</v>
      </c>
      <c r="G42" s="352" t="s">
        <v>100</v>
      </c>
      <c r="H42" s="326" t="s">
        <v>227</v>
      </c>
      <c r="I42" s="326" t="str">
        <f t="shared" si="0"/>
        <v>Mattson</v>
      </c>
      <c r="J42" s="326" t="s">
        <v>228</v>
      </c>
      <c r="K42" s="333" t="s">
        <v>290</v>
      </c>
      <c r="L42" s="330" t="s">
        <v>279</v>
      </c>
      <c r="M42" s="330" t="s">
        <v>258</v>
      </c>
      <c r="N42" s="330" t="s">
        <v>214</v>
      </c>
      <c r="O42" s="333" t="s">
        <v>215</v>
      </c>
      <c r="P42" s="294"/>
      <c r="Q42" s="294"/>
      <c r="R42" s="330" t="s">
        <v>223</v>
      </c>
      <c r="S42" s="341" t="s">
        <v>246</v>
      </c>
      <c r="T42" s="341" t="s">
        <v>218</v>
      </c>
      <c r="U42" s="359" t="s">
        <v>215</v>
      </c>
      <c r="V42" s="198" t="s">
        <v>240</v>
      </c>
    </row>
    <row r="43" spans="1:22" ht="47.1" hidden="1" customHeight="1">
      <c r="A43" s="399" t="s">
        <v>40</v>
      </c>
      <c r="B43" s="401">
        <v>2400</v>
      </c>
      <c r="C43" s="402" t="str">
        <f>'Log frame'!H17</f>
        <v>Increased access to sustainable, safe drinking water, sanitation, and hygiene materials in healthcare facilities, schools, and public places.</v>
      </c>
      <c r="D43" s="402" t="s">
        <v>133</v>
      </c>
      <c r="E43" s="414" t="s">
        <v>314</v>
      </c>
      <c r="F43" s="414" t="s">
        <v>135</v>
      </c>
      <c r="G43" s="405" t="s">
        <v>136</v>
      </c>
      <c r="H43" s="348" t="s">
        <v>209</v>
      </c>
      <c r="I43" s="348" t="s">
        <v>302</v>
      </c>
      <c r="J43" s="401" t="s">
        <v>315</v>
      </c>
      <c r="K43" s="403" t="s">
        <v>316</v>
      </c>
      <c r="L43" s="405" t="s">
        <v>279</v>
      </c>
      <c r="M43" s="330" t="s">
        <v>258</v>
      </c>
      <c r="N43" s="405" t="s">
        <v>236</v>
      </c>
      <c r="O43" s="333" t="s">
        <v>215</v>
      </c>
      <c r="P43" s="294"/>
      <c r="Q43" s="294"/>
      <c r="R43" s="331" t="s">
        <v>317</v>
      </c>
      <c r="S43" s="412" t="s">
        <v>246</v>
      </c>
      <c r="T43" s="404" t="s">
        <v>236</v>
      </c>
      <c r="U43" s="362" t="s">
        <v>247</v>
      </c>
      <c r="V43" s="198" t="s">
        <v>248</v>
      </c>
    </row>
    <row r="44" spans="1:22" ht="56.1" hidden="1" customHeight="1">
      <c r="A44" s="399" t="s">
        <v>40</v>
      </c>
      <c r="B44" s="401">
        <v>2400</v>
      </c>
      <c r="C44" s="402" t="str">
        <f>'Log frame'!H17</f>
        <v>Increased access to sustainable, safe drinking water, sanitation, and hygiene materials in healthcare facilities, schools, and public places.</v>
      </c>
      <c r="D44" s="402" t="s">
        <v>137</v>
      </c>
      <c r="E44" s="415" t="s">
        <v>318</v>
      </c>
      <c r="F44" s="414" t="s">
        <v>138</v>
      </c>
      <c r="G44" s="405" t="s">
        <v>139</v>
      </c>
      <c r="H44" s="348" t="s">
        <v>209</v>
      </c>
      <c r="I44" s="348" t="s">
        <v>302</v>
      </c>
      <c r="J44" s="401" t="s">
        <v>315</v>
      </c>
      <c r="K44" s="403" t="s">
        <v>319</v>
      </c>
      <c r="L44" s="405" t="s">
        <v>279</v>
      </c>
      <c r="M44" s="330" t="s">
        <v>258</v>
      </c>
      <c r="N44" s="405" t="s">
        <v>236</v>
      </c>
      <c r="O44" s="333" t="s">
        <v>215</v>
      </c>
      <c r="P44" s="294"/>
      <c r="Q44" s="294"/>
      <c r="R44" s="331" t="s">
        <v>320</v>
      </c>
      <c r="S44" s="412" t="s">
        <v>246</v>
      </c>
      <c r="T44" s="404" t="s">
        <v>236</v>
      </c>
      <c r="U44" s="362" t="s">
        <v>247</v>
      </c>
      <c r="V44" s="198" t="s">
        <v>248</v>
      </c>
    </row>
    <row r="45" spans="1:22" ht="34.5" hidden="1" customHeight="1">
      <c r="A45" s="357" t="s">
        <v>16</v>
      </c>
      <c r="B45" s="339">
        <v>2410</v>
      </c>
      <c r="C45" s="326" t="str">
        <f>'Log frame'!H19</f>
        <v>Construct or rehabilitate water supply for healthcare facilities and schools.</v>
      </c>
      <c r="D45" s="339" t="s">
        <v>140</v>
      </c>
      <c r="E45" s="354" t="s">
        <v>321</v>
      </c>
      <c r="F45" s="354" t="s">
        <v>142</v>
      </c>
      <c r="G45" s="330" t="s">
        <v>143</v>
      </c>
      <c r="H45" s="348" t="s">
        <v>209</v>
      </c>
      <c r="I45" s="348" t="s">
        <v>302</v>
      </c>
      <c r="J45" s="326" t="s">
        <v>322</v>
      </c>
      <c r="K45" s="333" t="s">
        <v>316</v>
      </c>
      <c r="L45" s="330" t="s">
        <v>279</v>
      </c>
      <c r="M45" s="330" t="s">
        <v>258</v>
      </c>
      <c r="N45" s="330" t="s">
        <v>218</v>
      </c>
      <c r="O45" s="333" t="s">
        <v>215</v>
      </c>
      <c r="P45" s="294"/>
      <c r="Q45" s="294"/>
      <c r="R45" s="331" t="s">
        <v>317</v>
      </c>
      <c r="S45" s="341" t="s">
        <v>246</v>
      </c>
      <c r="T45" s="341" t="s">
        <v>236</v>
      </c>
      <c r="U45" s="362" t="s">
        <v>247</v>
      </c>
      <c r="V45" s="198" t="s">
        <v>248</v>
      </c>
    </row>
    <row r="46" spans="1:22" ht="34.5" hidden="1" customHeight="1">
      <c r="A46" s="357" t="s">
        <v>16</v>
      </c>
      <c r="B46" s="339">
        <v>2410</v>
      </c>
      <c r="C46" s="326" t="str">
        <f>'Log frame'!H19</f>
        <v>Construct or rehabilitate water supply for healthcare facilities and schools.</v>
      </c>
      <c r="D46" s="339" t="s">
        <v>144</v>
      </c>
      <c r="E46" s="346" t="s">
        <v>323</v>
      </c>
      <c r="F46" s="354" t="s">
        <v>145</v>
      </c>
      <c r="G46" s="330" t="s">
        <v>146</v>
      </c>
      <c r="H46" s="348" t="s">
        <v>209</v>
      </c>
      <c r="I46" s="348" t="s">
        <v>302</v>
      </c>
      <c r="J46" s="326" t="s">
        <v>322</v>
      </c>
      <c r="K46" s="333" t="s">
        <v>319</v>
      </c>
      <c r="L46" s="330" t="s">
        <v>279</v>
      </c>
      <c r="M46" s="330" t="s">
        <v>258</v>
      </c>
      <c r="N46" s="330" t="s">
        <v>218</v>
      </c>
      <c r="O46" s="333" t="s">
        <v>215</v>
      </c>
      <c r="P46" s="294"/>
      <c r="Q46" s="294"/>
      <c r="R46" s="331" t="s">
        <v>320</v>
      </c>
      <c r="S46" s="341" t="s">
        <v>246</v>
      </c>
      <c r="T46" s="341" t="s">
        <v>236</v>
      </c>
      <c r="U46" s="362" t="s">
        <v>247</v>
      </c>
      <c r="V46" s="198" t="s">
        <v>248</v>
      </c>
    </row>
    <row r="47" spans="1:22" ht="34.5" hidden="1" customHeight="1">
      <c r="A47" s="357" t="s">
        <v>16</v>
      </c>
      <c r="B47" s="339">
        <v>2420</v>
      </c>
      <c r="C47" s="345" t="str">
        <f>'Log frame'!H21</f>
        <v>Construct communal, healthcare facility, and school latrines.</v>
      </c>
      <c r="D47" s="326" t="s">
        <v>147</v>
      </c>
      <c r="E47" s="346" t="s">
        <v>324</v>
      </c>
      <c r="F47" s="354" t="s">
        <v>149</v>
      </c>
      <c r="G47" s="330" t="s">
        <v>143</v>
      </c>
      <c r="H47" s="348" t="s">
        <v>209</v>
      </c>
      <c r="I47" s="348" t="s">
        <v>302</v>
      </c>
      <c r="J47" s="326" t="s">
        <v>325</v>
      </c>
      <c r="K47" s="333" t="s">
        <v>316</v>
      </c>
      <c r="L47" s="330" t="s">
        <v>279</v>
      </c>
      <c r="M47" s="330" t="s">
        <v>258</v>
      </c>
      <c r="N47" s="330" t="s">
        <v>218</v>
      </c>
      <c r="O47" s="333" t="s">
        <v>215</v>
      </c>
      <c r="P47" s="294"/>
      <c r="Q47" s="294"/>
      <c r="R47" s="331" t="s">
        <v>317</v>
      </c>
      <c r="S47" s="341" t="s">
        <v>246</v>
      </c>
      <c r="T47" s="341" t="s">
        <v>236</v>
      </c>
      <c r="U47" s="362" t="s">
        <v>247</v>
      </c>
      <c r="V47" s="198" t="s">
        <v>248</v>
      </c>
    </row>
    <row r="48" spans="1:22" ht="34.5" hidden="1" customHeight="1">
      <c r="A48" s="357" t="s">
        <v>16</v>
      </c>
      <c r="B48" s="339">
        <v>2420</v>
      </c>
      <c r="C48" s="345" t="str">
        <f>'Log frame'!H21</f>
        <v>Construct communal, healthcare facility, and school latrines.</v>
      </c>
      <c r="D48" s="326" t="s">
        <v>150</v>
      </c>
      <c r="E48" s="346" t="s">
        <v>326</v>
      </c>
      <c r="F48" s="354" t="s">
        <v>151</v>
      </c>
      <c r="G48" s="330" t="s">
        <v>146</v>
      </c>
      <c r="H48" s="348" t="s">
        <v>209</v>
      </c>
      <c r="I48" s="348" t="s">
        <v>302</v>
      </c>
      <c r="J48" s="326" t="s">
        <v>325</v>
      </c>
      <c r="K48" s="333" t="s">
        <v>319</v>
      </c>
      <c r="L48" s="330" t="s">
        <v>279</v>
      </c>
      <c r="M48" s="330" t="s">
        <v>258</v>
      </c>
      <c r="N48" s="330" t="s">
        <v>218</v>
      </c>
      <c r="O48" s="333" t="s">
        <v>215</v>
      </c>
      <c r="P48" s="294"/>
      <c r="Q48" s="294"/>
      <c r="R48" s="331" t="s">
        <v>320</v>
      </c>
      <c r="S48" s="341" t="s">
        <v>246</v>
      </c>
      <c r="T48" s="341" t="s">
        <v>236</v>
      </c>
      <c r="U48" s="362" t="s">
        <v>247</v>
      </c>
      <c r="V48" s="198" t="s">
        <v>248</v>
      </c>
    </row>
    <row r="49" spans="1:32" ht="34.5" hidden="1" customHeight="1">
      <c r="A49" s="357" t="s">
        <v>16</v>
      </c>
      <c r="B49" s="339">
        <v>2430</v>
      </c>
      <c r="C49" s="326" t="str">
        <f>'Log frame'!H23</f>
        <v>Work with (local authorities, civil society) to ensure access to soap or alcohol-based handrub at schools and healthcare facilities.</v>
      </c>
      <c r="D49" s="326" t="s">
        <v>152</v>
      </c>
      <c r="E49" s="326" t="s">
        <v>327</v>
      </c>
      <c r="F49" s="354" t="s">
        <v>154</v>
      </c>
      <c r="G49" s="330" t="s">
        <v>143</v>
      </c>
      <c r="H49" s="348" t="s">
        <v>209</v>
      </c>
      <c r="I49" s="348" t="s">
        <v>302</v>
      </c>
      <c r="J49" s="326" t="s">
        <v>328</v>
      </c>
      <c r="K49" s="333" t="s">
        <v>316</v>
      </c>
      <c r="L49" s="330" t="s">
        <v>279</v>
      </c>
      <c r="M49" s="330" t="s">
        <v>258</v>
      </c>
      <c r="N49" s="330" t="s">
        <v>218</v>
      </c>
      <c r="O49" s="333" t="s">
        <v>215</v>
      </c>
      <c r="P49" s="294"/>
      <c r="Q49" s="294"/>
      <c r="R49" s="331" t="s">
        <v>317</v>
      </c>
      <c r="S49" s="341" t="s">
        <v>246</v>
      </c>
      <c r="T49" s="341" t="s">
        <v>236</v>
      </c>
      <c r="U49" s="362" t="s">
        <v>247</v>
      </c>
      <c r="V49" s="336" t="s">
        <v>248</v>
      </c>
    </row>
    <row r="50" spans="1:32" ht="34.5" hidden="1" customHeight="1">
      <c r="A50" s="357" t="s">
        <v>16</v>
      </c>
      <c r="B50" s="339">
        <v>2430</v>
      </c>
      <c r="C50" s="326" t="str">
        <f>'Log frame'!H23</f>
        <v>Work with (local authorities, civil society) to ensure access to soap or alcohol-based handrub at schools and healthcare facilities.</v>
      </c>
      <c r="D50" s="326" t="s">
        <v>155</v>
      </c>
      <c r="E50" s="326" t="s">
        <v>329</v>
      </c>
      <c r="F50" s="354" t="s">
        <v>156</v>
      </c>
      <c r="G50" s="330" t="s">
        <v>146</v>
      </c>
      <c r="H50" s="348" t="s">
        <v>209</v>
      </c>
      <c r="I50" s="348" t="s">
        <v>302</v>
      </c>
      <c r="J50" s="326" t="s">
        <v>330</v>
      </c>
      <c r="K50" s="333" t="s">
        <v>319</v>
      </c>
      <c r="L50" s="330" t="s">
        <v>279</v>
      </c>
      <c r="M50" s="330" t="s">
        <v>258</v>
      </c>
      <c r="N50" s="330" t="s">
        <v>218</v>
      </c>
      <c r="O50" s="333" t="s">
        <v>215</v>
      </c>
      <c r="P50" s="294"/>
      <c r="Q50" s="294"/>
      <c r="R50" s="331" t="s">
        <v>320</v>
      </c>
      <c r="S50" s="341" t="s">
        <v>246</v>
      </c>
      <c r="T50" s="341" t="s">
        <v>236</v>
      </c>
      <c r="U50" s="362" t="s">
        <v>247</v>
      </c>
      <c r="V50" s="198" t="s">
        <v>248</v>
      </c>
    </row>
    <row r="51" spans="1:32" ht="34.5" hidden="1" customHeight="1">
      <c r="A51" s="393" t="s">
        <v>37</v>
      </c>
      <c r="B51" s="395">
        <v>3000</v>
      </c>
      <c r="C51" s="395" t="str">
        <f>'Log frame'!I15</f>
        <v>Expanded reach and resources leveraged through collective action with other national and international actors.​</v>
      </c>
      <c r="D51" s="395" t="s">
        <v>36</v>
      </c>
      <c r="E51" s="395" t="s">
        <v>36</v>
      </c>
      <c r="F51" s="395" t="s">
        <v>36</v>
      </c>
      <c r="G51" s="398" t="s">
        <v>36</v>
      </c>
      <c r="H51" s="326" t="s">
        <v>36</v>
      </c>
      <c r="I51" s="326" t="str">
        <f t="shared" si="0"/>
        <v>Mattson</v>
      </c>
      <c r="J51" s="398" t="s">
        <v>36</v>
      </c>
      <c r="K51" s="398" t="s">
        <v>36</v>
      </c>
      <c r="L51" s="398" t="s">
        <v>36</v>
      </c>
      <c r="M51" s="330"/>
      <c r="N51" s="398" t="s">
        <v>36</v>
      </c>
      <c r="O51" s="330" t="s">
        <v>36</v>
      </c>
      <c r="P51" s="330" t="s">
        <v>36</v>
      </c>
      <c r="Q51" s="330" t="s">
        <v>36</v>
      </c>
      <c r="R51" s="330" t="s">
        <v>36</v>
      </c>
      <c r="S51" s="398" t="s">
        <v>36</v>
      </c>
      <c r="T51" s="398" t="s">
        <v>36</v>
      </c>
      <c r="U51" s="361" t="s">
        <v>36</v>
      </c>
      <c r="V51" s="136" t="s">
        <v>207</v>
      </c>
    </row>
    <row r="52" spans="1:32" ht="34.5" hidden="1" customHeight="1">
      <c r="A52" s="399" t="s">
        <v>40</v>
      </c>
      <c r="B52" s="401">
        <v>3100</v>
      </c>
      <c r="C52" s="401" t="str">
        <f>'Log frame'!I17</f>
        <v>Increased government and non-government funding in alignment with HANWASH Core Values.</v>
      </c>
      <c r="D52" s="401" t="s">
        <v>157</v>
      </c>
      <c r="E52" s="401" t="s">
        <v>331</v>
      </c>
      <c r="F52" s="407" t="s">
        <v>158</v>
      </c>
      <c r="G52" s="405" t="s">
        <v>159</v>
      </c>
      <c r="H52" s="330" t="s">
        <v>332</v>
      </c>
      <c r="I52" s="330" t="str">
        <f t="shared" si="0"/>
        <v>Mattson</v>
      </c>
      <c r="J52" s="405" t="s">
        <v>333</v>
      </c>
      <c r="K52" s="403" t="s">
        <v>334</v>
      </c>
      <c r="L52" s="405" t="s">
        <v>335</v>
      </c>
      <c r="M52" s="330" t="s">
        <v>213</v>
      </c>
      <c r="N52" s="405" t="s">
        <v>236</v>
      </c>
      <c r="O52" s="350" t="s">
        <v>231</v>
      </c>
      <c r="P52" s="330"/>
      <c r="Q52" s="330"/>
      <c r="R52" s="330" t="s">
        <v>223</v>
      </c>
      <c r="S52" s="405" t="s">
        <v>336</v>
      </c>
      <c r="T52" s="405" t="s">
        <v>236</v>
      </c>
      <c r="U52" s="361" t="s">
        <v>231</v>
      </c>
      <c r="V52" s="328" t="s">
        <v>337</v>
      </c>
    </row>
    <row r="53" spans="1:32" ht="38.25" hidden="1" customHeight="1">
      <c r="A53" s="399" t="s">
        <v>40</v>
      </c>
      <c r="B53" s="401">
        <v>3100</v>
      </c>
      <c r="C53" s="401" t="str">
        <f>'Log frame'!I17</f>
        <v>Increased government and non-government funding in alignment with HANWASH Core Values.</v>
      </c>
      <c r="D53" s="409" t="s">
        <v>160</v>
      </c>
      <c r="E53" s="401" t="s">
        <v>338</v>
      </c>
      <c r="F53" s="407" t="s">
        <v>161</v>
      </c>
      <c r="G53" s="405" t="s">
        <v>162</v>
      </c>
      <c r="H53" s="330" t="s">
        <v>209</v>
      </c>
      <c r="I53" s="330" t="s">
        <v>222</v>
      </c>
      <c r="J53" s="405" t="s">
        <v>339</v>
      </c>
      <c r="K53" s="403" t="s">
        <v>334</v>
      </c>
      <c r="L53" s="405" t="s">
        <v>335</v>
      </c>
      <c r="M53" s="330" t="s">
        <v>213</v>
      </c>
      <c r="N53" s="405" t="s">
        <v>236</v>
      </c>
      <c r="O53" s="350" t="s">
        <v>231</v>
      </c>
      <c r="P53" s="330"/>
      <c r="Q53" s="330"/>
      <c r="R53" s="330" t="s">
        <v>223</v>
      </c>
      <c r="S53" s="405" t="s">
        <v>336</v>
      </c>
      <c r="T53" s="405" t="s">
        <v>236</v>
      </c>
      <c r="U53" s="361" t="s">
        <v>247</v>
      </c>
      <c r="V53" s="328" t="s">
        <v>240</v>
      </c>
      <c r="W53" s="8"/>
      <c r="X53" s="8"/>
      <c r="Y53" s="8"/>
      <c r="Z53" s="8"/>
      <c r="AA53" s="8"/>
      <c r="AB53" s="8"/>
      <c r="AC53" s="8"/>
      <c r="AD53" s="8"/>
      <c r="AE53" s="8"/>
      <c r="AF53" s="8"/>
    </row>
    <row r="54" spans="1:32" ht="34.5" hidden="1" customHeight="1">
      <c r="A54" s="357" t="s">
        <v>16</v>
      </c>
      <c r="B54" s="339">
        <v>3110</v>
      </c>
      <c r="C54" s="345" t="str">
        <f>'Log frame'!I19</f>
        <v>Mobilize and coordinate funding from government and non-government sources in HANWASH program areas in alignment with HANWASH Core Values.</v>
      </c>
      <c r="D54" s="326" t="s">
        <v>163</v>
      </c>
      <c r="E54" s="326" t="s">
        <v>340</v>
      </c>
      <c r="F54" s="340" t="s">
        <v>164</v>
      </c>
      <c r="G54" s="352" t="s">
        <v>159</v>
      </c>
      <c r="H54" s="326" t="s">
        <v>332</v>
      </c>
      <c r="I54" s="326" t="str">
        <f t="shared" si="0"/>
        <v>Mattson</v>
      </c>
      <c r="J54" s="326" t="s">
        <v>341</v>
      </c>
      <c r="K54" s="333" t="s">
        <v>334</v>
      </c>
      <c r="L54" s="330" t="s">
        <v>335</v>
      </c>
      <c r="M54" s="330" t="s">
        <v>213</v>
      </c>
      <c r="N54" s="330" t="s">
        <v>236</v>
      </c>
      <c r="O54" s="333" t="s">
        <v>231</v>
      </c>
      <c r="P54" s="294"/>
      <c r="Q54" s="294"/>
      <c r="R54" s="341" t="s">
        <v>223</v>
      </c>
      <c r="S54" s="341" t="s">
        <v>336</v>
      </c>
      <c r="T54" s="341" t="s">
        <v>236</v>
      </c>
      <c r="U54" s="359" t="s">
        <v>231</v>
      </c>
      <c r="V54" s="198" t="s">
        <v>337</v>
      </c>
    </row>
    <row r="55" spans="1:32" ht="34.5" hidden="1" customHeight="1">
      <c r="A55" s="357" t="s">
        <v>16</v>
      </c>
      <c r="B55" s="339">
        <v>3120</v>
      </c>
      <c r="C55" s="345" t="str">
        <f>'Log frame'!I21</f>
        <v>Mobilize and influence funding from government and non-government sources beyond HANWASH program areas in alignment with HANWASH Core Values.</v>
      </c>
      <c r="D55" s="326" t="s">
        <v>165</v>
      </c>
      <c r="E55" s="326" t="s">
        <v>342</v>
      </c>
      <c r="F55" s="340" t="s">
        <v>166</v>
      </c>
      <c r="G55" s="352" t="s">
        <v>159</v>
      </c>
      <c r="H55" s="326" t="s">
        <v>332</v>
      </c>
      <c r="I55" s="326" t="s">
        <v>302</v>
      </c>
      <c r="J55" s="326" t="s">
        <v>341</v>
      </c>
      <c r="K55" s="333" t="s">
        <v>334</v>
      </c>
      <c r="L55" s="330" t="s">
        <v>335</v>
      </c>
      <c r="M55" s="330" t="s">
        <v>213</v>
      </c>
      <c r="N55" s="330" t="s">
        <v>236</v>
      </c>
      <c r="O55" s="333" t="s">
        <v>231</v>
      </c>
      <c r="P55" s="294"/>
      <c r="Q55" s="294"/>
      <c r="R55" s="341" t="s">
        <v>223</v>
      </c>
      <c r="S55" s="341" t="s">
        <v>336</v>
      </c>
      <c r="T55" s="341" t="s">
        <v>236</v>
      </c>
      <c r="U55" s="359" t="s">
        <v>231</v>
      </c>
      <c r="V55" s="198" t="s">
        <v>337</v>
      </c>
    </row>
    <row r="56" spans="1:32" ht="34.5" hidden="1" customHeight="1">
      <c r="A56" s="399" t="s">
        <v>40</v>
      </c>
      <c r="B56" s="416">
        <v>3200</v>
      </c>
      <c r="C56" s="417" t="str">
        <f>'Log frame'!J17</f>
        <v>Increased capacity of DINEPA to regulate the sector and OREPA to oversee and support implementation.</v>
      </c>
      <c r="D56" s="405" t="s">
        <v>167</v>
      </c>
      <c r="E56" s="401" t="s">
        <v>343</v>
      </c>
      <c r="F56" s="401" t="s">
        <v>168</v>
      </c>
      <c r="G56" s="400" t="s">
        <v>169</v>
      </c>
      <c r="H56" s="339" t="s">
        <v>227</v>
      </c>
      <c r="I56" s="339" t="str">
        <f t="shared" si="0"/>
        <v>Mattson</v>
      </c>
      <c r="J56" s="401" t="s">
        <v>344</v>
      </c>
      <c r="K56" s="403" t="s">
        <v>345</v>
      </c>
      <c r="L56" s="401" t="s">
        <v>336</v>
      </c>
      <c r="M56" s="326" t="s">
        <v>213</v>
      </c>
      <c r="N56" s="401" t="s">
        <v>236</v>
      </c>
      <c r="O56" s="326" t="s">
        <v>36</v>
      </c>
      <c r="P56" s="326" t="s">
        <v>36</v>
      </c>
      <c r="Q56" s="326" t="s">
        <v>36</v>
      </c>
      <c r="R56" s="326" t="s">
        <v>36</v>
      </c>
      <c r="S56" s="401" t="s">
        <v>270</v>
      </c>
      <c r="T56" s="401" t="s">
        <v>236</v>
      </c>
      <c r="U56" s="358" t="s">
        <v>36</v>
      </c>
      <c r="V56" s="136" t="s">
        <v>346</v>
      </c>
    </row>
    <row r="57" spans="1:32" ht="34.5" hidden="1" customHeight="1" thickBot="1">
      <c r="A57" s="363" t="s">
        <v>16</v>
      </c>
      <c r="B57" s="364">
        <v>3220</v>
      </c>
      <c r="C57" s="365" t="str">
        <f>'Log frame'!J21</f>
        <v>Provide technical assistance and training to DINEPA and the OREPAs.</v>
      </c>
      <c r="D57" s="366" t="s">
        <v>170</v>
      </c>
      <c r="E57" s="366" t="s">
        <v>347</v>
      </c>
      <c r="F57" s="367" t="s">
        <v>171</v>
      </c>
      <c r="G57" s="368" t="s">
        <v>172</v>
      </c>
      <c r="H57" s="368" t="s">
        <v>209</v>
      </c>
      <c r="I57" s="368" t="str">
        <f t="shared" si="0"/>
        <v>Mattson</v>
      </c>
      <c r="J57" s="366" t="s">
        <v>228</v>
      </c>
      <c r="K57" s="369" t="s">
        <v>211</v>
      </c>
      <c r="L57" s="366" t="s">
        <v>279</v>
      </c>
      <c r="M57" s="366" t="s">
        <v>213</v>
      </c>
      <c r="N57" s="370" t="s">
        <v>268</v>
      </c>
      <c r="O57" s="369" t="s">
        <v>215</v>
      </c>
      <c r="P57" s="371"/>
      <c r="Q57" s="371"/>
      <c r="R57" s="370" t="s">
        <v>223</v>
      </c>
      <c r="S57" s="370" t="s">
        <v>217</v>
      </c>
      <c r="T57" s="370" t="s">
        <v>218</v>
      </c>
      <c r="U57" s="372" t="s">
        <v>215</v>
      </c>
      <c r="V57" s="198" t="s">
        <v>240</v>
      </c>
    </row>
  </sheetData>
  <autoFilter ref="A11:N57" xr:uid="{BE8B9DD6-C48E-49B4-B8BB-6D4871740D80}">
    <filterColumn colId="11">
      <filters>
        <filter val="Mayors &amp; Water service provider"/>
        <filter val="Water Service provider"/>
      </filters>
    </filterColumn>
  </autoFilter>
  <mergeCells count="19">
    <mergeCell ref="A5:C5"/>
    <mergeCell ref="F5:T5"/>
    <mergeCell ref="A1:C1"/>
    <mergeCell ref="A2:C2"/>
    <mergeCell ref="A3:C3"/>
    <mergeCell ref="A4:C4"/>
    <mergeCell ref="F4:T4"/>
    <mergeCell ref="V10:V11"/>
    <mergeCell ref="A6:C6"/>
    <mergeCell ref="F6:T6"/>
    <mergeCell ref="A7:C7"/>
    <mergeCell ref="F7:T7"/>
    <mergeCell ref="A8:C8"/>
    <mergeCell ref="F8:T8"/>
    <mergeCell ref="A10:C10"/>
    <mergeCell ref="D10:J10"/>
    <mergeCell ref="K10:O10"/>
    <mergeCell ref="P10:Q10"/>
    <mergeCell ref="R10:U10"/>
  </mergeCells>
  <hyperlinks>
    <hyperlink ref="K33" r:id="rId1" location="/forms/d97abfe8b83843dcb03c5b1d72e01f93/preview" xr:uid="{2D44FE5E-A946-4A4D-9D20-0D9609970D9A}"/>
    <hyperlink ref="R21" r:id="rId2" location="/forms/530fe4e5a09f42d0a96cef1b855a5241/preview" display="HANWASH household audit" xr:uid="{24ACE93E-FA16-423A-A5E2-22AC9B682342}"/>
    <hyperlink ref="K40" r:id="rId3" location="/forms/76ba0885e88a4c20b8686aa9204acd30" display="Implementation event tracking form" xr:uid="{418E534F-E6D2-4AE7-A944-DD4549B30F0A}"/>
    <hyperlink ref="K14" r:id="rId4" location="/forms/76ba0885e88a4c20b8686aa9204acd30" xr:uid="{36DB5D99-0CFB-4E51-8705-CA20C3E80350}"/>
    <hyperlink ref="K16" r:id="rId5" location="/forms/76ba0885e88a4c20b8686aa9204acd30" xr:uid="{EF48B2C8-03C9-4CB3-9EFF-D27CDEA544E5}"/>
    <hyperlink ref="K19" r:id="rId6" location="/forms/76ba0885e88a4c20b8686aa9204acd30" xr:uid="{D34EFCC0-48EE-45C4-A0CA-2FAEE3A58162}"/>
    <hyperlink ref="K21" r:id="rId7" location="/forms/fad15f51bbf44bb0bf9c36f08887c2dd" display="Water point survey (type &amp; functionality) + rapid community assessment (HH count)" xr:uid="{FBF5A9F1-E62C-4677-8F31-670E81F3F1C6}"/>
    <hyperlink ref="K23" r:id="rId8" location="/forms/d97abfe8b83843dcb03c5b1d72e01f93/preview" display="SAEP monthly report" xr:uid="{7AD1C9A9-930E-4EF0-966D-88D85D688DD9}"/>
    <hyperlink ref="K27" r:id="rId9" location="/forms/d97abfe8b83843dcb03c5b1d72e01f93/preview" xr:uid="{E015F415-0DD9-48AA-A412-F06C7992A39D}"/>
    <hyperlink ref="K43" r:id="rId10" location="/forms/802cd40b8ada491eae959778d70597bf" xr:uid="{0D1846F8-CC9E-4E7E-8C80-A735AE715831}"/>
    <hyperlink ref="K45" r:id="rId11" location="/forms/802cd40b8ada491eae959778d70597bf" xr:uid="{95BB3EB1-342C-4D22-89A3-140C446FED79}"/>
    <hyperlink ref="K47" r:id="rId12" location="/forms/802cd40b8ada491eae959778d70597bf" xr:uid="{42C72762-AACE-4F33-AEAD-75C38EDDFBD9}"/>
    <hyperlink ref="K49" r:id="rId13" location="/forms/802cd40b8ada491eae959778d70597bf" xr:uid="{7DE41640-8FBF-4056-A2B3-49FFC0B42060}"/>
    <hyperlink ref="K44" r:id="rId14" location="/forms/b823db9a3c794e3bbfb204540990c2c8" xr:uid="{06E6A87F-C0A6-4483-B125-DB7EC00D7C4F}"/>
    <hyperlink ref="K46" r:id="rId15" location="/forms/b823db9a3c794e3bbfb204540990c2c8" xr:uid="{759C2FEC-3949-4ED2-867A-78933A4414DC}"/>
    <hyperlink ref="K48" r:id="rId16" location="/forms/b823db9a3c794e3bbfb204540990c2c8" xr:uid="{3B54E093-6EBC-4DBE-8804-19F7A931F022}"/>
    <hyperlink ref="K50" r:id="rId17" location="/forms/b823db9a3c794e3bbfb204540990c2c8" xr:uid="{F5D3A732-AA40-49F7-860B-65E4D569141F}"/>
    <hyperlink ref="K32" r:id="rId18" location="/forms/fad15f51bbf44bb0bf9c36f08887c2dd" display="Water point survey (type &amp; functionality) + rapid community assessment (HH count)" xr:uid="{9AA9439C-7BDA-42FD-AEC6-AFBE639A9D89}"/>
    <hyperlink ref="K57" r:id="rId19" location="/forms/76ba0885e88a4c20b8686aa9204acd30" xr:uid="{4127F7FC-0A5A-48AA-9A9D-A8699F40407F}"/>
    <hyperlink ref="P17" r:id="rId20" location="/consoles/818a590d510e40728bc1e969aa98c0db?tab=e4139e54-32f5-49d7-872a-9c40004944f3" xr:uid="{270218AC-9A59-46C1-9E95-9FF3A457959A}"/>
    <hyperlink ref="P21" r:id="rId21" location="/forms/fad15f51bbf44bb0bf9c36f08887c2dd" display="Water point survey (type &amp; functionality) + rapid community assessment (HH count)" xr:uid="{D7C4FC2D-205A-4B69-8A38-BE53513677F4}"/>
    <hyperlink ref="O21" r:id="rId22" location="/consoles/1d080c5b8c154825b446b267319a8288?tab=b96fe26a-1712-43b1-a86b-26e9f7b833b4" xr:uid="{23585A3D-7663-44A4-A1DE-3B0BE6FF4DFC}"/>
    <hyperlink ref="O17" r:id="rId23" location="/consoles/818a590d510e40728bc1e969aa98c0db?tab=e4139e54-32f5-49d7-872a-9c40004944f3" xr:uid="{72780E87-3AED-4530-9A02-A589C60801C4}"/>
    <hyperlink ref="O29" r:id="rId24" location="/consoles/1d080c5b8c154825b446b267319a8288?tab=b96fe26a-1712-43b1-a86b-26e9f7b833b4" xr:uid="{A591C944-8B8A-460C-AF64-DBF868B905A1}"/>
    <hyperlink ref="O30" r:id="rId25" location="/consoles/1d080c5b8c154825b446b267319a8288?tab=b96fe26a-1712-43b1-a86b-26e9f7b833b4" xr:uid="{A8621427-6D70-413F-8504-57163F63C764}"/>
    <hyperlink ref="O36" r:id="rId26" location="/consoles/1d080c5b8c154825b446b267319a8288?tab=b96fe26a-1712-43b1-a86b-26e9f7b833b4" xr:uid="{DE85BC1D-7D3E-4988-BB90-252AE20F2D2D}"/>
    <hyperlink ref="O43" r:id="rId27" location="/consoles/1d080c5b8c154825b446b267319a8288?tab=b96fe26a-1712-43b1-a86b-26e9f7b833b4" xr:uid="{94B94842-4DA7-4EDB-8C3A-72B9D42C3BAA}"/>
    <hyperlink ref="O44" r:id="rId28" location="/consoles/1d080c5b8c154825b446b267319a8288?tab=b96fe26a-1712-43b1-a86b-26e9f7b833b4" xr:uid="{9F264D79-7E45-4B86-94FA-6096FB96DB6E}"/>
    <hyperlink ref="O14" r:id="rId29" location="/consoles/1d080c5b8c154825b446b267319a8288?tab=b96fe26a-1712-43b1-a86b-26e9f7b833b4" xr:uid="{5443B022-04D9-4DB7-892D-589F2F1D9C8D}"/>
    <hyperlink ref="O16" r:id="rId30" location="/consoles/1d080c5b8c154825b446b267319a8288?tab=b96fe26a-1712-43b1-a86b-26e9f7b833b4" xr:uid="{D6210E49-2A6D-463F-8C51-BCC01F040C2E}"/>
    <hyperlink ref="O18" r:id="rId31" location="/consoles/818a590d510e40728bc1e969aa98c0db?tab=e4139e54-32f5-49d7-872a-9c40004944f3" xr:uid="{8E0420D5-9170-41C1-B0AD-7F78E2DE5485}"/>
    <hyperlink ref="O19" r:id="rId32" location="/consoles/1d080c5b8c154825b446b267319a8288?tab=b96fe26a-1712-43b1-a86b-26e9f7b833b4" xr:uid="{9C797292-4B78-4EDF-860C-6272ECC44DEA}"/>
    <hyperlink ref="O23" r:id="rId33" location="/consoles/1d080c5b8c154825b446b267319a8288?tab=b96fe26a-1712-43b1-a86b-26e9f7b833b4" xr:uid="{D0D0572A-660C-48E0-ACC5-043ED3395DEE}"/>
    <hyperlink ref="O27" r:id="rId34" location="/consoles/1d080c5b8c154825b446b267319a8288?tab=b96fe26a-1712-43b1-a86b-26e9f7b833b4" xr:uid="{14BAA916-EFB6-44BA-B20A-3F39FC5A5FAF}"/>
    <hyperlink ref="O32" r:id="rId35" location="/consoles/1d080c5b8c154825b446b267319a8288?tab=b96fe26a-1712-43b1-a86b-26e9f7b833b4" xr:uid="{D9D34E6B-FEDE-4F10-97BE-81E1E2C47EAC}"/>
    <hyperlink ref="O33" r:id="rId36" location="/consoles/1d080c5b8c154825b446b267319a8288?tab=b96fe26a-1712-43b1-a86b-26e9f7b833b4" xr:uid="{BF97295B-1C42-4546-B654-7F773C976A1C}"/>
    <hyperlink ref="O37" r:id="rId37" location="/consoles/1d080c5b8c154825b446b267319a8288?tab=b96fe26a-1712-43b1-a86b-26e9f7b833b4" xr:uid="{BF18F70B-0ABB-4000-8CEA-CA2F22A63892}"/>
    <hyperlink ref="O40" r:id="rId38" location="/consoles/1d080c5b8c154825b446b267319a8288?tab=b96fe26a-1712-43b1-a86b-26e9f7b833b4" xr:uid="{C6DF1E54-8672-4694-9F58-1259884876F1}"/>
    <hyperlink ref="O42" r:id="rId39" location="/consoles/1d080c5b8c154825b446b267319a8288?tab=b96fe26a-1712-43b1-a86b-26e9f7b833b4" xr:uid="{7AAE2F8A-AB53-498B-8DDA-2F84DC0CD326}"/>
    <hyperlink ref="O45" r:id="rId40" location="/consoles/1d080c5b8c154825b446b267319a8288?tab=b96fe26a-1712-43b1-a86b-26e9f7b833b4" xr:uid="{8C096D73-11C2-4F11-A42A-FA695E0AF124}"/>
    <hyperlink ref="O46" r:id="rId41" location="/consoles/1d080c5b8c154825b446b267319a8288?tab=b96fe26a-1712-43b1-a86b-26e9f7b833b4" xr:uid="{A4881FB6-C88A-4421-9AEA-B064DD4BC589}"/>
    <hyperlink ref="O47" r:id="rId42" location="/consoles/1d080c5b8c154825b446b267319a8288?tab=b96fe26a-1712-43b1-a86b-26e9f7b833b4" xr:uid="{5FED01B4-05B9-44E4-ABB3-55E3B974EC86}"/>
    <hyperlink ref="O48" r:id="rId43" location="/consoles/1d080c5b8c154825b446b267319a8288?tab=b96fe26a-1712-43b1-a86b-26e9f7b833b4" xr:uid="{291DBB2D-30E2-4B1E-8944-327110014197}"/>
    <hyperlink ref="O49" r:id="rId44" location="/consoles/1d080c5b8c154825b446b267319a8288?tab=b96fe26a-1712-43b1-a86b-26e9f7b833b4" xr:uid="{DAA08144-63C3-4363-A44D-AF45C8F9BC66}"/>
    <hyperlink ref="O50" r:id="rId45" location="/consoles/1d080c5b8c154825b446b267319a8288?tab=b96fe26a-1712-43b1-a86b-26e9f7b833b4" xr:uid="{256C2D4C-6759-4AE8-99BA-AD33D9E3A4BF}"/>
    <hyperlink ref="O54" r:id="rId46" location="/consoles/818a590d510e40728bc1e969aa98c0db?tab=e4139e54-32f5-49d7-872a-9c40004944f3" xr:uid="{DF6201E8-FA3A-4ECA-98F4-1EE94E2CCFFA}"/>
    <hyperlink ref="O55" r:id="rId47" location="/consoles/818a590d510e40728bc1e969aa98c0db?tab=e4139e54-32f5-49d7-872a-9c40004944f3" xr:uid="{DD2507D6-25A0-45FA-BC90-5A7B65A24775}"/>
    <hyperlink ref="O57" r:id="rId48" location="/consoles/1d080c5b8c154825b446b267319a8288?tab=b96fe26a-1712-43b1-a86b-26e9f7b833b4" xr:uid="{2AA4B3A5-CB84-4819-BB99-E85C192F92FC}"/>
    <hyperlink ref="U17" r:id="rId49" location="/consoles/818a590d510e40728bc1e969aa98c0db?tab=e4139e54-32f5-49d7-872a-9c40004944f3" xr:uid="{00CD04DA-513B-4387-9628-8D67B61F7926}"/>
    <hyperlink ref="U14" r:id="rId50" location="/consoles/1d080c5b8c154825b446b267319a8288?tab=b96fe26a-1712-43b1-a86b-26e9f7b833b4" xr:uid="{7F1BE851-A248-4C31-840F-1796B7FC6275}"/>
    <hyperlink ref="U16" r:id="rId51" location="/consoles/1d080c5b8c154825b446b267319a8288?tab=b96fe26a-1712-43b1-a86b-26e9f7b833b4" xr:uid="{8DF98674-2CB6-40C2-AC04-105F9C50C576}"/>
    <hyperlink ref="U18" r:id="rId52" location="/consoles/818a590d510e40728bc1e969aa98c0db?tab=e4139e54-32f5-49d7-872a-9c40004944f3" xr:uid="{6705A012-9D90-49BD-B6E8-C8EAF6720884}"/>
    <hyperlink ref="R29" r:id="rId53" location="/forms/530fe4e5a09f42d0a96cef1b855a5241/preview" xr:uid="{EB5EC15D-300D-41D6-B7C6-672812443D92}"/>
    <hyperlink ref="R30" r:id="rId54" location="/forms/530fe4e5a09f42d0a96cef1b855a5241/preview" xr:uid="{D4A191B3-1824-42B4-90B6-99619BAB2C61}"/>
    <hyperlink ref="R36" r:id="rId55" location="/forms/530fe4e5a09f42d0a96cef1b855a5241/preview" xr:uid="{D258E218-A67F-46EB-9ADB-6F748D0B2EC2}"/>
    <hyperlink ref="R43" r:id="rId56" location="/forms/802cd40b8ada491eae959778d70597bf" xr:uid="{FEF670A9-E2D4-4B50-AE84-7484C2E8BA26}"/>
    <hyperlink ref="R44" r:id="rId57" location="/forms/b823db9a3c794e3bbfb204540990c2c8" xr:uid="{9E7FC019-8B40-4AEE-8627-849E7F9D0494}"/>
    <hyperlink ref="U23" r:id="rId58" location="/consoles/1d080c5b8c154825b446b267319a8288?tab=b96fe26a-1712-43b1-a86b-26e9f7b833b4" xr:uid="{F16DA0E0-FF3F-4AAE-9E65-DF5DE3334890}"/>
    <hyperlink ref="U27" r:id="rId59" location="/consoles/1d080c5b8c154825b446b267319a8288?tab=b96fe26a-1712-43b1-a86b-26e9f7b833b4" xr:uid="{82DB0AF9-D264-4990-948D-F5F56622D9AB}"/>
    <hyperlink ref="R32" r:id="rId60" location="/forms/530fe4e5a09f42d0a96cef1b855a5241/preview" xr:uid="{BD39CC91-5643-4B4E-99C6-2D79987606EB}"/>
    <hyperlink ref="R33" r:id="rId61" location="/forms/530fe4e5a09f42d0a96cef1b855a5241/preview" xr:uid="{50DA6453-6E57-49BF-8197-C8EC56781ED1}"/>
    <hyperlink ref="R37" r:id="rId62" location="/forms/530fe4e5a09f42d0a96cef1b855a5241/preview" xr:uid="{A9575DD3-01D6-4E55-A503-9B1F46204541}"/>
    <hyperlink ref="U40" r:id="rId63" location="/consoles/1d080c5b8c154825b446b267319a8288?tab=b96fe26a-1712-43b1-a86b-26e9f7b833b4" xr:uid="{D5A6A3A2-4EA7-4036-882C-1691C302132E}"/>
    <hyperlink ref="U42" r:id="rId64" location="/consoles/1d080c5b8c154825b446b267319a8288?tab=b96fe26a-1712-43b1-a86b-26e9f7b833b4" xr:uid="{16013B7D-72CE-4E82-A713-C3DA58DE1E98}"/>
    <hyperlink ref="R45" r:id="rId65" location="/forms/802cd40b8ada491eae959778d70597bf" xr:uid="{EDF0AD94-136C-41B6-8A6C-37D04C47EA99}"/>
    <hyperlink ref="R47" r:id="rId66" location="/forms/802cd40b8ada491eae959778d70597bf" xr:uid="{49656240-5FE8-44B1-8104-827AC4BBA518}"/>
    <hyperlink ref="R49" r:id="rId67" location="/forms/802cd40b8ada491eae959778d70597bf" xr:uid="{55FA7AD2-C113-4F35-BC9A-4065B06CE834}"/>
    <hyperlink ref="R46" r:id="rId68" location="/forms/b823db9a3c794e3bbfb204540990c2c8" xr:uid="{B0C53400-67A2-47A1-A37C-546A2AACEA92}"/>
    <hyperlink ref="R48" r:id="rId69" location="/forms/b823db9a3c794e3bbfb204540990c2c8" xr:uid="{C30B40EA-9C57-4C55-8891-F90DEB1B0FEC}"/>
    <hyperlink ref="R50" r:id="rId70" location="/forms/b823db9a3c794e3bbfb204540990c2c8" xr:uid="{B9DDE742-C834-4C71-8AFC-FC32DCC78400}"/>
    <hyperlink ref="U52" r:id="rId71" location="/consoles/818a590d510e40728bc1e969aa98c0db?tab=e4139e54-32f5-49d7-872a-9c40004944f3" xr:uid="{45D716EF-C864-4D69-B9C8-03A2D18E98F7}"/>
    <hyperlink ref="U54" r:id="rId72" location="/consoles/818a590d510e40728bc1e969aa98c0db?tab=e4139e54-32f5-49d7-872a-9c40004944f3" xr:uid="{E772D9E7-1982-401F-8149-153C7A0975C8}"/>
    <hyperlink ref="U55" r:id="rId73" location="/consoles/818a590d510e40728bc1e969aa98c0db?tab=e4139e54-32f5-49d7-872a-9c40004944f3" xr:uid="{69BB249B-5D27-4847-BD4D-CF9CB765C0F0}"/>
    <hyperlink ref="U57" r:id="rId74" location="/consoles/1d080c5b8c154825b446b267319a8288?tab=b96fe26a-1712-43b1-a86b-26e9f7b833b4" xr:uid="{B403C25A-2E0E-47E3-8BD3-85B717F13FCB}"/>
    <hyperlink ref="U19" r:id="rId75" location="/consoles/1d080c5b8c154825b446b267319a8288?tab=b96fe26a-1712-43b1-a86b-26e9f7b833b4" xr:uid="{25F96A22-E698-41D8-959D-B5747333D9E6}"/>
    <hyperlink ref="A5" r:id="rId76" xr:uid="{7AC36CB5-7A15-4877-B8D3-3569B93BE722}"/>
    <hyperlink ref="O38" r:id="rId77" location="/consoles/1d080c5b8c154825b446b267319a8288?tab=b96fe26a-1712-43b1-a86b-26e9f7b833b4" xr:uid="{08CF7272-F1F4-43D5-838D-A15A6D7A4F2D}"/>
    <hyperlink ref="R38" r:id="rId78" location="/forms/530fe4e5a09f42d0a96cef1b855a5241/preview" xr:uid="{6C2BF8F5-D292-4467-840A-13FE76565260}"/>
    <hyperlink ref="K35" r:id="rId79" location="/forms/e045ce2509964909bed52a842b28dffd" display="ODF verification and certification" xr:uid="{CDB54432-0075-4802-8901-5D009844B9B2}"/>
    <hyperlink ref="O35" r:id="rId80" location="/consoles/1d080c5b8c154825b446b267319a8288?tab=b96fe26a-1712-43b1-a86b-26e9f7b833b4" xr:uid="{9912FC44-204D-41FC-B65B-F446C1FAD806}"/>
    <hyperlink ref="R35" r:id="rId81" location="/forms/530fe4e5a09f42d0a96cef1b855a5241/preview" xr:uid="{538392AD-4AEC-4134-899C-A2B4D043EB27}"/>
    <hyperlink ref="O34" r:id="rId82" location="/consoles/1d080c5b8c154825b446b267319a8288?tab=b96fe26a-1712-43b1-a86b-26e9f7b833b4" xr:uid="{B7E1897F-B310-4D26-86DE-46B323FC6422}"/>
    <hyperlink ref="R34" r:id="rId83" location="/forms/530fe4e5a09f42d0a96cef1b855a5241/preview" xr:uid="{5E0A31C5-6981-4D84-9B2F-86AFC5934956}"/>
    <hyperlink ref="O39" r:id="rId84" location="/consoles/1d080c5b8c154825b446b267319a8288?tab=b96fe26a-1712-43b1-a86b-26e9f7b833b4" xr:uid="{6D66DFEE-11B0-4E35-B23F-F20D733D2075}"/>
    <hyperlink ref="R39" r:id="rId85" location="/forms/530fe4e5a09f42d0a96cef1b855a5241/preview" xr:uid="{066E3D6B-62AF-4C50-91C3-293D40F91DEB}"/>
    <hyperlink ref="K34" r:id="rId86" location="/forms/2bd65fbd2daf4064ac60694210797595" display="Rapid community assessment" xr:uid="{F90E3BC4-B310-4DD6-B33C-3C7AD10AC73C}"/>
    <hyperlink ref="K39" r:id="rId87" location="/forms/530fe4e5a09f42d0a96cef1b855a5241/preview" xr:uid="{B2FD8891-549C-40EB-87B0-B97AB2C2D35E}"/>
    <hyperlink ref="K36" r:id="rId88" location="/forms/530fe4e5a09f42d0a96cef1b855a5241/preview" xr:uid="{09F7460D-D08B-493A-A506-5919A482B165}"/>
    <hyperlink ref="K30" r:id="rId89" location="/forms/530fe4e5a09f42d0a96cef1b855a5241/preview" xr:uid="{F85B05D1-4269-437A-B01A-AE88CFBDC642}"/>
    <hyperlink ref="K29" r:id="rId90" location="/forms/530fe4e5a09f42d0a96cef1b855a5241/preview" xr:uid="{E1875272-1B94-4392-9896-644C51D02C8C}"/>
    <hyperlink ref="K37" r:id="rId91" location="/forms/530fe4e5a09f42d0a96cef1b855a5241/preview" xr:uid="{75C6FC44-ED95-455B-A162-079602DBD11C}"/>
    <hyperlink ref="K42" r:id="rId92" location="/forms/e045ce2509964909bed52a842b28dffd" display="ODF verification and certification" xr:uid="{7DF984CC-6EA5-49CD-88AC-1F0DB99A6C74}"/>
    <hyperlink ref="O20" r:id="rId93" location="/consoles/1d080c5b8c154825b446b267319a8288?tab=b96fe26a-1712-43b1-a86b-26e9f7b833b4" xr:uid="{6189E9B1-C0AB-4A0F-AD2D-477A81BD5C0C}"/>
    <hyperlink ref="R20" r:id="rId94" location="/forms/530fe4e5a09f42d0a96cef1b855a5241/preview" display="HANWASH household audit" xr:uid="{C365C612-DC53-4640-9B77-3E6DABE5B959}"/>
    <hyperlink ref="K31" r:id="rId95" location="/forms/fad15f51bbf44bb0bf9c36f08887c2dd" display="Water point survey (type &amp; functionality) + rapid community assessment (HH count)" xr:uid="{B14E4A20-5E60-4EED-9A8F-BEA5FAE046BC}"/>
    <hyperlink ref="O31" r:id="rId96" location="/consoles/1d080c5b8c154825b446b267319a8288?tab=b96fe26a-1712-43b1-a86b-26e9f7b833b4" xr:uid="{19261CD5-5A90-4FD9-8564-3099363F9235}"/>
    <hyperlink ref="R31" r:id="rId97" location="/forms/530fe4e5a09f42d0a96cef1b855a5241/preview" display="HANWASH household audit" xr:uid="{F5C71B79-5D09-46DB-A8B8-20101D889F6E}"/>
    <hyperlink ref="K56" r:id="rId98" location="/tables/ts109/t6" xr:uid="{8B01CF3E-00A6-42F2-B1D9-117BCA9141CE}"/>
    <hyperlink ref="O53" r:id="rId99" location="/consoles/818a590d510e40728bc1e969aa98c0db?tab=e4139e54-32f5-49d7-872a-9c40004944f3" xr:uid="{16A29CC4-63F9-4411-80D0-3234053BC7AC}"/>
    <hyperlink ref="O52" r:id="rId100" location="/consoles/818a590d510e40728bc1e969aa98c0db?tab=e4139e54-32f5-49d7-872a-9c40004944f3" xr:uid="{75A614B7-6101-4448-A12E-7CF47972C07A}"/>
    <hyperlink ref="K22" r:id="rId101" location="/forms/fad15f51bbf44bb0bf9c36f08887c2dd" display="Water point survey (type &amp; functionality) + rapid community assessment (HH count)" xr:uid="{DF0EA8F9-08F1-4C8B-B3C6-E3027181B341}"/>
    <hyperlink ref="O22" r:id="rId102" location="/consoles/1d080c5b8c154825b446b267319a8288?tab=b96fe26a-1712-43b1-a86b-26e9f7b833b4" xr:uid="{EF640E18-0A3B-428B-82F5-B4A19A57C729}"/>
    <hyperlink ref="P22" r:id="rId103" location="/forms/530fe4e5a09f42d0a96cef1b855a5241/preview" display="HANWASH household audit" xr:uid="{E1F10DA1-5006-4092-B628-5735188CFE5D}"/>
    <hyperlink ref="K15" r:id="rId104" location="/forms/76ba0885e88a4c20b8686aa9204acd30" xr:uid="{422C5C10-A007-41DB-BBC1-135578E9BCC5}"/>
    <hyperlink ref="O15" r:id="rId105" location="/consoles/1d080c5b8c154825b446b267319a8288?tab=b96fe26a-1712-43b1-a86b-26e9f7b833b4" xr:uid="{7ECB0E2B-E460-44A0-8650-600322553AF9}"/>
    <hyperlink ref="K41" r:id="rId106" location="/forms/76ba0885e88a4c20b8686aa9204acd30" display="Implementation event tracking form" xr:uid="{A51EACD2-27A7-4CC7-87A3-A09DE8160808}"/>
    <hyperlink ref="O41" r:id="rId107" location="/consoles/1d080c5b8c154825b446b267319a8288?tab=b96fe26a-1712-43b1-a86b-26e9f7b833b4" xr:uid="{C25D3D81-B274-4B7D-AB9B-D1DF0F51B3B3}"/>
    <hyperlink ref="U41" r:id="rId108" location="/consoles/1d080c5b8c154825b446b267319a8288?tab=b96fe26a-1712-43b1-a86b-26e9f7b833b4" xr:uid="{E960F0C0-C950-43B1-BD9D-71A0F76E8DEB}"/>
    <hyperlink ref="K24" r:id="rId109" location="/forms/d97abfe8b83843dcb03c5b1d72e01f93/preview" display="SAEP monthly report" xr:uid="{EA7D617D-2F19-4FBC-94C8-571F7AC52DCF}"/>
    <hyperlink ref="O24" r:id="rId110" location="/consoles/1d080c5b8c154825b446b267319a8288?tab=b96fe26a-1712-43b1-a86b-26e9f7b833b4" xr:uid="{9C1BAF00-6F23-4B6E-AF27-17F84CA52A0E}"/>
    <hyperlink ref="U24" r:id="rId111" location="/consoles/1d080c5b8c154825b446b267319a8288?tab=b96fe26a-1712-43b1-a86b-26e9f7b833b4" xr:uid="{4F92A62B-9CD9-4F8D-A587-CDEAECA12660}"/>
  </hyperlinks>
  <pageMargins left="0.7" right="0.7" top="0.75" bottom="0.75" header="0.3" footer="0.3"/>
  <pageSetup fitToWidth="0" orientation="portrait"/>
  <legacyDrawing r:id="rId11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4F03C-5AFF-4AB0-860A-285D148A5A3A}">
  <sheetPr filterMode="1">
    <pageSetUpPr fitToPage="1"/>
  </sheetPr>
  <dimension ref="A1:AF57"/>
  <sheetViews>
    <sheetView topLeftCell="F8" zoomScale="88" zoomScaleNormal="88" workbookViewId="0">
      <selection activeCell="K59" sqref="K59"/>
    </sheetView>
  </sheetViews>
  <sheetFormatPr defaultColWidth="11" defaultRowHeight="15.75" customHeight="1"/>
  <cols>
    <col min="1" max="1" width="19.375" style="20" customWidth="1"/>
    <col min="2" max="2" width="7.375" style="7" customWidth="1"/>
    <col min="3" max="3" width="52.125" style="43" customWidth="1"/>
    <col min="4" max="4" width="12.75" style="8" bestFit="1" customWidth="1"/>
    <col min="5" max="5" width="71.125" style="7" customWidth="1"/>
    <col min="6" max="6" width="71.5" style="7" customWidth="1"/>
    <col min="7" max="7" width="17.625" customWidth="1"/>
    <col min="8" max="9" width="11.875" style="7" hidden="1" customWidth="1"/>
    <col min="10" max="10" width="18.625" style="20" customWidth="1"/>
    <col min="11" max="11" width="15" style="20" customWidth="1"/>
    <col min="12" max="12" width="12.25" style="20" customWidth="1"/>
    <col min="13" max="13" width="18.25" style="20" hidden="1" customWidth="1"/>
    <col min="14" max="14" width="18.625" style="20" customWidth="1"/>
    <col min="15" max="15" width="15.5" style="20" hidden="1" customWidth="1"/>
    <col min="16" max="17" width="26.625" hidden="1" customWidth="1"/>
    <col min="18" max="18" width="22.125" style="20" hidden="1" customWidth="1"/>
    <col min="19" max="19" width="21.125" style="20" customWidth="1"/>
    <col min="20" max="20" width="18.125" style="20" customWidth="1"/>
    <col min="21" max="21" width="20" style="20" hidden="1" customWidth="1"/>
    <col min="22" max="22" width="87" style="20" hidden="1" customWidth="1"/>
  </cols>
  <sheetData>
    <row r="1" spans="1:22" ht="15.6">
      <c r="A1" s="456" t="s">
        <v>173</v>
      </c>
      <c r="B1" s="456"/>
      <c r="C1" s="456"/>
      <c r="E1" s="74" t="s">
        <v>174</v>
      </c>
      <c r="F1" s="75"/>
      <c r="G1" s="75"/>
      <c r="H1" s="75"/>
      <c r="I1" s="75"/>
      <c r="J1" s="80"/>
      <c r="K1" s="80"/>
      <c r="L1" s="80"/>
      <c r="M1" s="80"/>
      <c r="N1" s="80"/>
      <c r="O1" s="80"/>
      <c r="P1" s="81"/>
      <c r="Q1" s="81"/>
      <c r="R1" s="80"/>
    </row>
    <row r="2" spans="1:22" ht="15.6">
      <c r="A2" s="457" t="s">
        <v>175</v>
      </c>
      <c r="B2" s="457"/>
      <c r="C2" s="457"/>
      <c r="E2" s="94" t="s">
        <v>176</v>
      </c>
      <c r="F2" s="77" t="str">
        <f>"'-' Not applicable"</f>
        <v>'-' Not applicable</v>
      </c>
    </row>
    <row r="3" spans="1:22" ht="15.95" thickBot="1">
      <c r="A3" s="456" t="s">
        <v>177</v>
      </c>
      <c r="B3" s="456"/>
      <c r="C3" s="456"/>
      <c r="E3" s="72"/>
      <c r="F3" s="73"/>
      <c r="G3" s="78"/>
      <c r="H3" s="73"/>
      <c r="I3" s="73"/>
      <c r="J3" s="79"/>
      <c r="K3" s="79"/>
      <c r="L3" s="79"/>
      <c r="M3" s="79"/>
      <c r="N3" s="79"/>
      <c r="O3" s="79"/>
      <c r="P3" s="78"/>
      <c r="Q3" s="78"/>
      <c r="R3" s="79"/>
      <c r="S3" s="79"/>
      <c r="T3" s="79"/>
    </row>
    <row r="4" spans="1:22" ht="15.6">
      <c r="A4" s="445" t="s">
        <v>178</v>
      </c>
      <c r="B4" s="445"/>
      <c r="C4" s="445"/>
      <c r="E4" s="76" t="s">
        <v>179</v>
      </c>
      <c r="F4" s="456" t="s">
        <v>9</v>
      </c>
      <c r="G4" s="456"/>
      <c r="H4" s="456"/>
      <c r="I4" s="456"/>
      <c r="J4" s="456"/>
      <c r="K4" s="458"/>
      <c r="L4" s="458"/>
      <c r="M4" s="458"/>
      <c r="N4" s="456"/>
      <c r="O4" s="458"/>
      <c r="P4" s="456"/>
      <c r="Q4" s="456"/>
      <c r="R4" s="458"/>
      <c r="S4" s="458"/>
      <c r="T4" s="458"/>
    </row>
    <row r="5" spans="1:22" ht="15.6">
      <c r="A5" s="455" t="s">
        <v>180</v>
      </c>
      <c r="B5" s="455"/>
      <c r="C5" s="455"/>
      <c r="E5" s="387" t="s">
        <v>10</v>
      </c>
      <c r="F5" s="445" t="s">
        <v>181</v>
      </c>
      <c r="G5" s="445"/>
      <c r="H5" s="445"/>
      <c r="I5" s="445"/>
      <c r="J5" s="445"/>
      <c r="K5" s="445"/>
      <c r="L5" s="445"/>
      <c r="M5" s="445"/>
      <c r="N5" s="445"/>
      <c r="O5" s="445"/>
      <c r="P5" s="445"/>
      <c r="Q5" s="445"/>
      <c r="R5" s="445"/>
      <c r="S5" s="445"/>
      <c r="T5" s="445"/>
    </row>
    <row r="6" spans="1:22" ht="15.6">
      <c r="A6" s="444" t="s">
        <v>182</v>
      </c>
      <c r="B6" s="445"/>
      <c r="C6" s="445"/>
      <c r="E6" s="388" t="s">
        <v>37</v>
      </c>
      <c r="F6" s="445" t="s">
        <v>183</v>
      </c>
      <c r="G6" s="445"/>
      <c r="H6" s="445"/>
      <c r="I6" s="445"/>
      <c r="J6" s="445"/>
      <c r="K6" s="446"/>
      <c r="L6" s="446"/>
      <c r="M6" s="446"/>
      <c r="N6" s="445"/>
      <c r="O6" s="446"/>
      <c r="P6" s="445"/>
      <c r="Q6" s="445"/>
      <c r="R6" s="446"/>
      <c r="S6" s="446"/>
      <c r="T6" s="446"/>
    </row>
    <row r="7" spans="1:22" ht="15.6">
      <c r="A7" s="444" t="s">
        <v>184</v>
      </c>
      <c r="B7" s="445"/>
      <c r="C7" s="445"/>
      <c r="E7" s="389" t="s">
        <v>40</v>
      </c>
      <c r="F7" s="445" t="s">
        <v>185</v>
      </c>
      <c r="G7" s="445"/>
      <c r="H7" s="445"/>
      <c r="I7" s="445"/>
      <c r="J7" s="445"/>
      <c r="K7" s="446"/>
      <c r="L7" s="446"/>
      <c r="M7" s="446"/>
      <c r="N7" s="445"/>
      <c r="O7" s="446"/>
      <c r="P7" s="445"/>
      <c r="Q7" s="445"/>
      <c r="R7" s="446"/>
      <c r="S7" s="446"/>
      <c r="T7" s="446"/>
    </row>
    <row r="8" spans="1:22" ht="38.25" customHeight="1">
      <c r="A8" s="447" t="s">
        <v>186</v>
      </c>
      <c r="B8" s="447"/>
      <c r="C8" s="447"/>
      <c r="E8" s="4" t="s">
        <v>187</v>
      </c>
      <c r="F8" s="448" t="s">
        <v>188</v>
      </c>
      <c r="G8" s="448"/>
      <c r="H8" s="448"/>
      <c r="I8" s="448"/>
      <c r="J8" s="448"/>
      <c r="K8" s="449"/>
      <c r="L8" s="449"/>
      <c r="M8" s="449"/>
      <c r="N8" s="448"/>
      <c r="O8" s="449"/>
      <c r="P8" s="448"/>
      <c r="Q8" s="448"/>
      <c r="R8" s="449"/>
      <c r="S8" s="449"/>
      <c r="T8" s="449"/>
    </row>
    <row r="9" spans="1:22" ht="15.75" customHeight="1" thickBot="1"/>
    <row r="10" spans="1:22" ht="15.95" customHeight="1">
      <c r="A10" s="450" t="s">
        <v>189</v>
      </c>
      <c r="B10" s="451"/>
      <c r="C10" s="451"/>
      <c r="D10" s="452" t="s">
        <v>28</v>
      </c>
      <c r="E10" s="452"/>
      <c r="F10" s="452"/>
      <c r="G10" s="452"/>
      <c r="H10" s="452"/>
      <c r="I10" s="452"/>
      <c r="J10" s="452"/>
      <c r="K10" s="452" t="s">
        <v>190</v>
      </c>
      <c r="L10" s="452"/>
      <c r="M10" s="452"/>
      <c r="N10" s="453"/>
      <c r="O10" s="452"/>
      <c r="P10" s="453" t="s">
        <v>191</v>
      </c>
      <c r="Q10" s="453"/>
      <c r="R10" s="452" t="s">
        <v>192</v>
      </c>
      <c r="S10" s="452"/>
      <c r="T10" s="452"/>
      <c r="U10" s="454"/>
      <c r="V10" s="442" t="s">
        <v>193</v>
      </c>
    </row>
    <row r="11" spans="1:22" ht="15.6">
      <c r="A11" s="355" t="s">
        <v>8</v>
      </c>
      <c r="B11" s="337" t="s">
        <v>194</v>
      </c>
      <c r="C11" s="337" t="s">
        <v>9</v>
      </c>
      <c r="D11" s="324" t="s">
        <v>195</v>
      </c>
      <c r="E11" s="338" t="s">
        <v>9</v>
      </c>
      <c r="F11" s="338" t="s">
        <v>29</v>
      </c>
      <c r="G11" s="324" t="s">
        <v>30</v>
      </c>
      <c r="H11" s="338" t="s">
        <v>196</v>
      </c>
      <c r="I11" s="338" t="s">
        <v>197</v>
      </c>
      <c r="J11" s="338" t="s">
        <v>198</v>
      </c>
      <c r="K11" s="324" t="s">
        <v>199</v>
      </c>
      <c r="L11" s="324" t="s">
        <v>200</v>
      </c>
      <c r="M11" s="324" t="s">
        <v>201</v>
      </c>
      <c r="N11" s="324" t="s">
        <v>202</v>
      </c>
      <c r="O11" s="324" t="s">
        <v>203</v>
      </c>
      <c r="P11" s="325" t="s">
        <v>204</v>
      </c>
      <c r="Q11" s="325" t="s">
        <v>190</v>
      </c>
      <c r="R11" s="324" t="s">
        <v>199</v>
      </c>
      <c r="S11" s="324" t="s">
        <v>205</v>
      </c>
      <c r="T11" s="324" t="s">
        <v>206</v>
      </c>
      <c r="U11" s="356" t="s">
        <v>203</v>
      </c>
      <c r="V11" s="443"/>
    </row>
    <row r="12" spans="1:22" ht="34.5" hidden="1" customHeight="1">
      <c r="A12" s="390" t="s">
        <v>10</v>
      </c>
      <c r="B12" s="391">
        <v>1</v>
      </c>
      <c r="C12" s="392" t="str">
        <f>'Log frame'!B13</f>
        <v>Increased access to safe, sustainable and affordable water, sanitation and hygiene (WASH) services in Haiti​.</v>
      </c>
      <c r="D12" s="392" t="s">
        <v>36</v>
      </c>
      <c r="E12" s="392" t="s">
        <v>36</v>
      </c>
      <c r="F12" s="392" t="s">
        <v>36</v>
      </c>
      <c r="G12" s="392" t="s">
        <v>36</v>
      </c>
      <c r="H12" s="326" t="s">
        <v>36</v>
      </c>
      <c r="I12" s="326" t="str">
        <f>"Mattson"</f>
        <v>Mattson</v>
      </c>
      <c r="J12" s="392" t="s">
        <v>36</v>
      </c>
      <c r="K12" s="392" t="s">
        <v>36</v>
      </c>
      <c r="L12" s="392" t="s">
        <v>36</v>
      </c>
      <c r="M12" s="326"/>
      <c r="N12" s="392" t="s">
        <v>36</v>
      </c>
      <c r="O12" s="326" t="s">
        <v>36</v>
      </c>
      <c r="P12" s="326" t="s">
        <v>36</v>
      </c>
      <c r="Q12" s="326" t="s">
        <v>36</v>
      </c>
      <c r="R12" s="326" t="s">
        <v>36</v>
      </c>
      <c r="S12" s="392" t="s">
        <v>36</v>
      </c>
      <c r="T12" s="392" t="s">
        <v>36</v>
      </c>
      <c r="U12" s="358" t="s">
        <v>36</v>
      </c>
      <c r="V12" s="136" t="s">
        <v>207</v>
      </c>
    </row>
    <row r="13" spans="1:22" ht="34.5" hidden="1" customHeight="1">
      <c r="A13" s="393" t="s">
        <v>37</v>
      </c>
      <c r="B13" s="394">
        <v>1000</v>
      </c>
      <c r="C13" s="395" t="str">
        <f>'Log frame'!B15</f>
        <v>Strengthened demand for and management of WASH services in communes.</v>
      </c>
      <c r="D13" s="395" t="s">
        <v>36</v>
      </c>
      <c r="E13" s="395" t="s">
        <v>36</v>
      </c>
      <c r="F13" s="395" t="s">
        <v>36</v>
      </c>
      <c r="G13" s="395" t="s">
        <v>36</v>
      </c>
      <c r="H13" s="326" t="s">
        <v>36</v>
      </c>
      <c r="I13" s="326" t="str">
        <f t="shared" ref="I13:I57" si="0">"Mattson"</f>
        <v>Mattson</v>
      </c>
      <c r="J13" s="395" t="s">
        <v>36</v>
      </c>
      <c r="K13" s="395" t="s">
        <v>36</v>
      </c>
      <c r="L13" s="395" t="s">
        <v>36</v>
      </c>
      <c r="M13" s="326"/>
      <c r="N13" s="395" t="s">
        <v>36</v>
      </c>
      <c r="O13" s="326" t="s">
        <v>36</v>
      </c>
      <c r="P13" s="326" t="s">
        <v>36</v>
      </c>
      <c r="Q13" s="326" t="s">
        <v>36</v>
      </c>
      <c r="R13" s="326" t="s">
        <v>36</v>
      </c>
      <c r="S13" s="395" t="s">
        <v>36</v>
      </c>
      <c r="T13" s="395" t="s">
        <v>36</v>
      </c>
      <c r="U13" s="358" t="s">
        <v>36</v>
      </c>
      <c r="V13" s="136" t="s">
        <v>207</v>
      </c>
    </row>
    <row r="14" spans="1:22" ht="34.5" hidden="1" customHeight="1">
      <c r="A14" s="399" t="s">
        <v>40</v>
      </c>
      <c r="B14" s="400">
        <v>1100</v>
      </c>
      <c r="C14" s="401" t="str">
        <f>'Log frame'!B17</f>
        <v>Increased civil society engagement in decision making and implementation of WASH services.</v>
      </c>
      <c r="D14" s="402" t="s">
        <v>39</v>
      </c>
      <c r="E14" s="401" t="s">
        <v>208</v>
      </c>
      <c r="F14" s="401" t="s">
        <v>42</v>
      </c>
      <c r="G14" s="401" t="s">
        <v>43</v>
      </c>
      <c r="H14" s="326" t="s">
        <v>209</v>
      </c>
      <c r="I14" s="326" t="str">
        <f t="shared" si="0"/>
        <v>Mattson</v>
      </c>
      <c r="J14" s="401" t="s">
        <v>210</v>
      </c>
      <c r="K14" s="403" t="s">
        <v>211</v>
      </c>
      <c r="L14" s="404" t="s">
        <v>212</v>
      </c>
      <c r="M14" s="341" t="s">
        <v>213</v>
      </c>
      <c r="N14" s="405" t="s">
        <v>214</v>
      </c>
      <c r="O14" s="333" t="s">
        <v>215</v>
      </c>
      <c r="P14" s="294"/>
      <c r="Q14" s="294"/>
      <c r="R14" s="341" t="s">
        <v>216</v>
      </c>
      <c r="S14" s="404" t="s">
        <v>217</v>
      </c>
      <c r="T14" s="404" t="s">
        <v>218</v>
      </c>
      <c r="U14" s="359" t="s">
        <v>215</v>
      </c>
      <c r="V14" s="334" t="s">
        <v>219</v>
      </c>
    </row>
    <row r="15" spans="1:22" ht="34.5" hidden="1" customHeight="1">
      <c r="A15" s="399" t="s">
        <v>40</v>
      </c>
      <c r="B15" s="400">
        <v>1100</v>
      </c>
      <c r="C15" s="401" t="s">
        <v>41</v>
      </c>
      <c r="D15" s="402" t="s">
        <v>44</v>
      </c>
      <c r="E15" s="401" t="s">
        <v>220</v>
      </c>
      <c r="F15" s="401" t="s">
        <v>45</v>
      </c>
      <c r="G15" s="401" t="s">
        <v>46</v>
      </c>
      <c r="H15" s="326" t="s">
        <v>221</v>
      </c>
      <c r="I15" s="326" t="s">
        <v>222</v>
      </c>
      <c r="J15" s="401" t="s">
        <v>210</v>
      </c>
      <c r="K15" s="403" t="s">
        <v>211</v>
      </c>
      <c r="L15" s="404" t="s">
        <v>212</v>
      </c>
      <c r="M15" s="341" t="s">
        <v>213</v>
      </c>
      <c r="N15" s="405" t="s">
        <v>214</v>
      </c>
      <c r="O15" s="333" t="s">
        <v>215</v>
      </c>
      <c r="P15" s="341" t="s">
        <v>223</v>
      </c>
      <c r="Q15" s="341" t="s">
        <v>217</v>
      </c>
      <c r="R15" s="341" t="s">
        <v>224</v>
      </c>
      <c r="S15" s="404" t="s">
        <v>217</v>
      </c>
      <c r="T15" s="404" t="s">
        <v>218</v>
      </c>
      <c r="U15" s="360" t="s">
        <v>215</v>
      </c>
      <c r="V15" s="335"/>
    </row>
    <row r="16" spans="1:22" ht="48.6" hidden="1" customHeight="1">
      <c r="A16" s="357" t="s">
        <v>16</v>
      </c>
      <c r="B16" s="339">
        <v>1110</v>
      </c>
      <c r="C16" s="342" t="s">
        <v>48</v>
      </c>
      <c r="D16" s="340" t="s">
        <v>47</v>
      </c>
      <c r="E16" s="326" t="s">
        <v>225</v>
      </c>
      <c r="F16" s="326" t="s">
        <v>49</v>
      </c>
      <c r="G16" s="330" t="s">
        <v>50</v>
      </c>
      <c r="H16" s="326" t="s">
        <v>209</v>
      </c>
      <c r="I16" s="326" t="str">
        <f t="shared" si="0"/>
        <v>Mattson</v>
      </c>
      <c r="J16" s="326" t="s">
        <v>210</v>
      </c>
      <c r="K16" s="333" t="s">
        <v>211</v>
      </c>
      <c r="L16" s="343" t="s">
        <v>212</v>
      </c>
      <c r="M16" s="343" t="s">
        <v>213</v>
      </c>
      <c r="N16" s="330" t="s">
        <v>214</v>
      </c>
      <c r="O16" s="333" t="s">
        <v>215</v>
      </c>
      <c r="P16" s="294"/>
      <c r="Q16" s="294"/>
      <c r="R16" s="329" t="s">
        <v>223</v>
      </c>
      <c r="S16" s="341" t="s">
        <v>217</v>
      </c>
      <c r="T16" s="341" t="s">
        <v>218</v>
      </c>
      <c r="U16" s="359" t="s">
        <v>215</v>
      </c>
      <c r="V16" s="336" t="s">
        <v>219</v>
      </c>
    </row>
    <row r="17" spans="1:22" ht="34.5" hidden="1" customHeight="1">
      <c r="A17" s="399" t="s">
        <v>40</v>
      </c>
      <c r="B17" s="401">
        <v>1200</v>
      </c>
      <c r="C17" s="402" t="str">
        <f>'Log frame'!C17</f>
        <v>Improved commune WASH planning and coordination by local authorities.​</v>
      </c>
      <c r="D17" s="402" t="s">
        <v>51</v>
      </c>
      <c r="E17" s="401" t="s">
        <v>226</v>
      </c>
      <c r="F17" s="401" t="s">
        <v>53</v>
      </c>
      <c r="G17" s="401" t="s">
        <v>54</v>
      </c>
      <c r="H17" s="339" t="s">
        <v>227</v>
      </c>
      <c r="I17" s="339" t="str">
        <f t="shared" si="0"/>
        <v>Mattson</v>
      </c>
      <c r="J17" s="401" t="s">
        <v>228</v>
      </c>
      <c r="K17" s="403" t="s">
        <v>229</v>
      </c>
      <c r="L17" s="405" t="s">
        <v>230</v>
      </c>
      <c r="M17" s="330" t="s">
        <v>213</v>
      </c>
      <c r="N17" s="401" t="s">
        <v>218</v>
      </c>
      <c r="O17" s="333" t="s">
        <v>231</v>
      </c>
      <c r="P17" s="344" t="s">
        <v>232</v>
      </c>
      <c r="Q17" s="294" t="s">
        <v>233</v>
      </c>
      <c r="R17" s="294" t="s">
        <v>223</v>
      </c>
      <c r="S17" s="404" t="s">
        <v>217</v>
      </c>
      <c r="T17" s="404" t="s">
        <v>218</v>
      </c>
      <c r="U17" s="359" t="s">
        <v>231</v>
      </c>
      <c r="V17" s="320" t="s">
        <v>234</v>
      </c>
    </row>
    <row r="18" spans="1:22" ht="34.5" hidden="1" customHeight="1">
      <c r="A18" s="357" t="s">
        <v>16</v>
      </c>
      <c r="B18" s="339">
        <v>1210</v>
      </c>
      <c r="C18" s="345" t="str">
        <f>'Log frame'!C19</f>
        <v>Create or improve commune action plans that focus on water, sanitation and hygiene, and water resource management.​</v>
      </c>
      <c r="D18" s="340" t="s">
        <v>55</v>
      </c>
      <c r="E18" s="346" t="s">
        <v>235</v>
      </c>
      <c r="F18" s="326" t="s">
        <v>57</v>
      </c>
      <c r="G18" s="330" t="s">
        <v>58</v>
      </c>
      <c r="H18" s="339" t="s">
        <v>227</v>
      </c>
      <c r="I18" s="339" t="str">
        <f t="shared" si="0"/>
        <v>Mattson</v>
      </c>
      <c r="J18" s="326" t="s">
        <v>228</v>
      </c>
      <c r="K18" s="347" t="s">
        <v>229</v>
      </c>
      <c r="L18" s="330" t="s">
        <v>230</v>
      </c>
      <c r="M18" s="330" t="s">
        <v>213</v>
      </c>
      <c r="N18" s="326" t="s">
        <v>236</v>
      </c>
      <c r="O18" s="333" t="s">
        <v>231</v>
      </c>
      <c r="P18" s="294"/>
      <c r="Q18" s="294"/>
      <c r="R18" s="329" t="s">
        <v>223</v>
      </c>
      <c r="S18" s="341" t="s">
        <v>217</v>
      </c>
      <c r="T18" s="341" t="s">
        <v>236</v>
      </c>
      <c r="U18" s="359" t="s">
        <v>231</v>
      </c>
      <c r="V18" s="198" t="s">
        <v>237</v>
      </c>
    </row>
    <row r="19" spans="1:22" ht="34.5" hidden="1" customHeight="1">
      <c r="A19" s="357" t="s">
        <v>16</v>
      </c>
      <c r="B19" s="339">
        <v>1220</v>
      </c>
      <c r="C19" s="326" t="str">
        <f>'Log frame'!C21</f>
        <v>Facilitate coordination meetings between commune WASH stakeholders.</v>
      </c>
      <c r="D19" s="340" t="s">
        <v>59</v>
      </c>
      <c r="E19" s="326" t="s">
        <v>238</v>
      </c>
      <c r="F19" s="326" t="s">
        <v>61</v>
      </c>
      <c r="G19" s="330" t="s">
        <v>62</v>
      </c>
      <c r="H19" s="348" t="s">
        <v>209</v>
      </c>
      <c r="I19" s="348" t="str">
        <f t="shared" si="0"/>
        <v>Mattson</v>
      </c>
      <c r="J19" s="326" t="s">
        <v>210</v>
      </c>
      <c r="K19" s="333" t="s">
        <v>211</v>
      </c>
      <c r="L19" s="330" t="s">
        <v>239</v>
      </c>
      <c r="M19" s="330" t="s">
        <v>213</v>
      </c>
      <c r="N19" s="330" t="s">
        <v>214</v>
      </c>
      <c r="O19" s="333" t="s">
        <v>215</v>
      </c>
      <c r="P19" s="349"/>
      <c r="Q19" s="349"/>
      <c r="R19" s="329" t="s">
        <v>223</v>
      </c>
      <c r="S19" s="341" t="s">
        <v>217</v>
      </c>
      <c r="T19" s="341" t="s">
        <v>218</v>
      </c>
      <c r="U19" s="359" t="s">
        <v>215</v>
      </c>
      <c r="V19" s="198" t="s">
        <v>240</v>
      </c>
    </row>
    <row r="20" spans="1:22" ht="34.5" customHeight="1">
      <c r="A20" s="399" t="s">
        <v>40</v>
      </c>
      <c r="B20" s="405">
        <v>1300</v>
      </c>
      <c r="C20" s="405" t="str">
        <f>'Log frame'!D17</f>
        <v>Improved accountability of service providers to users of WASH services.​</v>
      </c>
      <c r="D20" s="402" t="s">
        <v>63</v>
      </c>
      <c r="E20" s="405" t="s">
        <v>241</v>
      </c>
      <c r="F20" s="401" t="s">
        <v>65</v>
      </c>
      <c r="G20" s="405" t="s">
        <v>66</v>
      </c>
      <c r="H20" s="330" t="s">
        <v>227</v>
      </c>
      <c r="I20" s="330" t="s">
        <v>222</v>
      </c>
      <c r="J20" s="405" t="s">
        <v>242</v>
      </c>
      <c r="K20" s="406" t="s">
        <v>243</v>
      </c>
      <c r="L20" s="405" t="s">
        <v>244</v>
      </c>
      <c r="M20" s="330" t="s">
        <v>213</v>
      </c>
      <c r="N20" s="407" t="s">
        <v>214</v>
      </c>
      <c r="O20" s="350" t="s">
        <v>215</v>
      </c>
      <c r="P20" s="330"/>
      <c r="Q20" s="330"/>
      <c r="R20" s="350" t="s">
        <v>245</v>
      </c>
      <c r="S20" s="405" t="s">
        <v>246</v>
      </c>
      <c r="T20" s="405" t="s">
        <v>218</v>
      </c>
      <c r="U20" s="361" t="s">
        <v>247</v>
      </c>
      <c r="V20" s="328" t="s">
        <v>248</v>
      </c>
    </row>
    <row r="21" spans="1:22" ht="34.5" customHeight="1">
      <c r="A21" s="399" t="s">
        <v>40</v>
      </c>
      <c r="B21" s="405">
        <v>1300</v>
      </c>
      <c r="C21" s="405" t="str">
        <f>'Log frame'!D17</f>
        <v>Improved accountability of service providers to users of WASH services.​</v>
      </c>
      <c r="D21" s="402" t="s">
        <v>67</v>
      </c>
      <c r="E21" s="405" t="s">
        <v>249</v>
      </c>
      <c r="F21" s="402" t="s">
        <v>68</v>
      </c>
      <c r="G21" s="405" t="s">
        <v>69</v>
      </c>
      <c r="H21" s="330" t="s">
        <v>227</v>
      </c>
      <c r="I21" s="330" t="str">
        <f t="shared" si="0"/>
        <v>Mattson</v>
      </c>
      <c r="J21" s="405" t="s">
        <v>250</v>
      </c>
      <c r="K21" s="406" t="s">
        <v>251</v>
      </c>
      <c r="L21" s="405" t="s">
        <v>252</v>
      </c>
      <c r="M21" s="330" t="s">
        <v>213</v>
      </c>
      <c r="N21" s="405" t="s">
        <v>236</v>
      </c>
      <c r="O21" s="350" t="s">
        <v>215</v>
      </c>
      <c r="P21" s="330" t="s">
        <v>253</v>
      </c>
      <c r="Q21" s="330"/>
      <c r="R21" s="350" t="s">
        <v>245</v>
      </c>
      <c r="S21" s="405" t="s">
        <v>246</v>
      </c>
      <c r="T21" s="405" t="s">
        <v>236</v>
      </c>
      <c r="U21" s="361" t="s">
        <v>247</v>
      </c>
      <c r="V21" s="332" t="s">
        <v>248</v>
      </c>
    </row>
    <row r="22" spans="1:22" ht="34.5" hidden="1" customHeight="1">
      <c r="A22" s="399" t="s">
        <v>40</v>
      </c>
      <c r="B22" s="405">
        <v>1300</v>
      </c>
      <c r="C22" s="405" t="s">
        <v>64</v>
      </c>
      <c r="D22" s="402" t="s">
        <v>70</v>
      </c>
      <c r="E22" s="405" t="s">
        <v>254</v>
      </c>
      <c r="F22" s="405" t="s">
        <v>71</v>
      </c>
      <c r="G22" s="405" t="s">
        <v>72</v>
      </c>
      <c r="H22" s="330" t="s">
        <v>221</v>
      </c>
      <c r="I22" s="330" t="s">
        <v>222</v>
      </c>
      <c r="J22" s="405" t="s">
        <v>255</v>
      </c>
      <c r="K22" s="406" t="s">
        <v>256</v>
      </c>
      <c r="L22" s="405" t="s">
        <v>257</v>
      </c>
      <c r="M22" s="330" t="s">
        <v>258</v>
      </c>
      <c r="N22" s="405" t="s">
        <v>236</v>
      </c>
      <c r="O22" s="350" t="s">
        <v>215</v>
      </c>
      <c r="P22" s="350" t="s">
        <v>245</v>
      </c>
      <c r="Q22" s="330" t="s">
        <v>259</v>
      </c>
      <c r="R22" s="330" t="s">
        <v>260</v>
      </c>
      <c r="S22" s="405" t="s">
        <v>246</v>
      </c>
      <c r="T22" s="405" t="s">
        <v>236</v>
      </c>
      <c r="U22" s="360" t="s">
        <v>215</v>
      </c>
      <c r="V22" s="335"/>
    </row>
    <row r="23" spans="1:22" ht="34.5" hidden="1" customHeight="1">
      <c r="A23" s="357" t="s">
        <v>16</v>
      </c>
      <c r="B23" s="339">
        <v>1310</v>
      </c>
      <c r="C23" s="351" t="str">
        <f>'Log frame'!D19</f>
        <v>Monitor WASH service performance and satisfaction.</v>
      </c>
      <c r="D23" s="340" t="s">
        <v>73</v>
      </c>
      <c r="E23" s="326" t="s">
        <v>261</v>
      </c>
      <c r="F23" s="340" t="s">
        <v>75</v>
      </c>
      <c r="G23" s="352" t="s">
        <v>76</v>
      </c>
      <c r="H23" s="348" t="s">
        <v>221</v>
      </c>
      <c r="I23" s="348" t="str">
        <f t="shared" si="0"/>
        <v>Mattson</v>
      </c>
      <c r="J23" s="326" t="s">
        <v>262</v>
      </c>
      <c r="K23" s="333" t="s">
        <v>263</v>
      </c>
      <c r="L23" s="330" t="s">
        <v>264</v>
      </c>
      <c r="M23" s="330" t="s">
        <v>213</v>
      </c>
      <c r="N23" s="330" t="s">
        <v>214</v>
      </c>
      <c r="O23" s="333" t="s">
        <v>215</v>
      </c>
      <c r="P23" s="294"/>
      <c r="Q23" s="294"/>
      <c r="R23" s="329" t="s">
        <v>223</v>
      </c>
      <c r="S23" s="341" t="s">
        <v>246</v>
      </c>
      <c r="T23" s="341" t="s">
        <v>218</v>
      </c>
      <c r="U23" s="359" t="s">
        <v>215</v>
      </c>
      <c r="V23" s="327" t="s">
        <v>240</v>
      </c>
    </row>
    <row r="24" spans="1:22" ht="34.5" hidden="1" customHeight="1">
      <c r="A24" s="357" t="s">
        <v>16</v>
      </c>
      <c r="B24" s="339">
        <v>1310</v>
      </c>
      <c r="C24" s="351" t="str">
        <f>C23</f>
        <v>Monitor WASH service performance and satisfaction.</v>
      </c>
      <c r="D24" s="340" t="s">
        <v>77</v>
      </c>
      <c r="E24" s="326" t="s">
        <v>265</v>
      </c>
      <c r="F24" s="340" t="s">
        <v>78</v>
      </c>
      <c r="G24" s="352" t="s">
        <v>76</v>
      </c>
      <c r="H24" s="348" t="s">
        <v>221</v>
      </c>
      <c r="I24" s="348" t="str">
        <f t="shared" si="0"/>
        <v>Mattson</v>
      </c>
      <c r="J24" s="326" t="s">
        <v>262</v>
      </c>
      <c r="K24" s="333" t="s">
        <v>263</v>
      </c>
      <c r="L24" s="330" t="s">
        <v>264</v>
      </c>
      <c r="M24" s="330" t="s">
        <v>213</v>
      </c>
      <c r="N24" s="330" t="s">
        <v>214</v>
      </c>
      <c r="O24" s="333" t="s">
        <v>215</v>
      </c>
      <c r="P24" s="294"/>
      <c r="Q24" s="294"/>
      <c r="R24" s="329" t="s">
        <v>223</v>
      </c>
      <c r="S24" s="341" t="s">
        <v>246</v>
      </c>
      <c r="T24" s="341" t="s">
        <v>218</v>
      </c>
      <c r="U24" s="359" t="s">
        <v>215</v>
      </c>
      <c r="V24" s="327" t="s">
        <v>240</v>
      </c>
    </row>
    <row r="25" spans="1:22" ht="46.5">
      <c r="A25" s="357" t="s">
        <v>16</v>
      </c>
      <c r="B25" s="339">
        <v>1310</v>
      </c>
      <c r="C25" s="351" t="str">
        <f>C24</f>
        <v>Monitor WASH service performance and satisfaction.</v>
      </c>
      <c r="D25" s="340" t="s">
        <v>79</v>
      </c>
      <c r="E25" s="326" t="s">
        <v>266</v>
      </c>
      <c r="F25" s="340" t="s">
        <v>80</v>
      </c>
      <c r="G25" s="330" t="s">
        <v>81</v>
      </c>
      <c r="H25" s="348"/>
      <c r="I25" s="348"/>
      <c r="J25" s="326"/>
      <c r="K25" s="333" t="s">
        <v>267</v>
      </c>
      <c r="L25" s="330" t="s">
        <v>244</v>
      </c>
      <c r="M25" s="330"/>
      <c r="N25" s="330" t="s">
        <v>268</v>
      </c>
      <c r="O25" s="333"/>
      <c r="P25" s="294"/>
      <c r="Q25" s="294"/>
      <c r="R25" s="329" t="s">
        <v>269</v>
      </c>
      <c r="S25" s="341" t="s">
        <v>270</v>
      </c>
      <c r="T25" s="341" t="s">
        <v>218</v>
      </c>
      <c r="U25" s="359"/>
      <c r="V25" s="327"/>
    </row>
    <row r="26" spans="1:22" ht="62.1" hidden="1">
      <c r="A26" s="357" t="s">
        <v>16</v>
      </c>
      <c r="B26" s="339">
        <v>1310</v>
      </c>
      <c r="C26" s="351" t="str">
        <f>C25</f>
        <v>Monitor WASH service performance and satisfaction.</v>
      </c>
      <c r="D26" s="340" t="s">
        <v>82</v>
      </c>
      <c r="E26" s="326" t="s">
        <v>271</v>
      </c>
      <c r="F26" s="340" t="s">
        <v>83</v>
      </c>
      <c r="G26" s="330" t="s">
        <v>84</v>
      </c>
      <c r="H26" s="348"/>
      <c r="I26" s="348"/>
      <c r="J26" s="326" t="s">
        <v>272</v>
      </c>
      <c r="K26" s="333" t="s">
        <v>263</v>
      </c>
      <c r="L26" s="330" t="s">
        <v>257</v>
      </c>
      <c r="M26" s="330" t="s">
        <v>213</v>
      </c>
      <c r="N26" s="330" t="s">
        <v>214</v>
      </c>
      <c r="O26" s="333"/>
      <c r="P26" s="294"/>
      <c r="Q26" s="294"/>
      <c r="R26" s="329"/>
      <c r="S26" s="341" t="s">
        <v>246</v>
      </c>
      <c r="T26" s="341" t="s">
        <v>218</v>
      </c>
      <c r="U26" s="359"/>
      <c r="V26" s="327"/>
    </row>
    <row r="27" spans="1:22" ht="99" hidden="1" customHeight="1">
      <c r="A27" s="357" t="s">
        <v>16</v>
      </c>
      <c r="B27" s="339">
        <v>1320</v>
      </c>
      <c r="C27" s="351" t="str">
        <f>'Log frame'!D21</f>
        <v>Review service provider performance with stakeholders.</v>
      </c>
      <c r="D27" s="340" t="s">
        <v>85</v>
      </c>
      <c r="E27" s="326" t="s">
        <v>273</v>
      </c>
      <c r="F27" s="340" t="s">
        <v>87</v>
      </c>
      <c r="G27" s="352" t="s">
        <v>58</v>
      </c>
      <c r="H27" s="326" t="s">
        <v>227</v>
      </c>
      <c r="I27" s="326" t="str">
        <f t="shared" si="0"/>
        <v>Mattson</v>
      </c>
      <c r="J27" s="326" t="s">
        <v>262</v>
      </c>
      <c r="K27" s="349" t="s">
        <v>274</v>
      </c>
      <c r="L27" s="330" t="s">
        <v>275</v>
      </c>
      <c r="M27" s="352" t="s">
        <v>213</v>
      </c>
      <c r="N27" s="330" t="s">
        <v>236</v>
      </c>
      <c r="O27" s="333" t="s">
        <v>215</v>
      </c>
      <c r="P27" s="294"/>
      <c r="Q27" s="294"/>
      <c r="R27" s="294" t="s">
        <v>36</v>
      </c>
      <c r="S27" s="341" t="s">
        <v>246</v>
      </c>
      <c r="T27" s="294" t="s">
        <v>236</v>
      </c>
      <c r="U27" s="359" t="s">
        <v>215</v>
      </c>
      <c r="V27" s="198" t="s">
        <v>240</v>
      </c>
    </row>
    <row r="28" spans="1:22" ht="34.5" hidden="1" customHeight="1">
      <c r="A28" s="393" t="s">
        <v>37</v>
      </c>
      <c r="B28" s="394">
        <v>2000</v>
      </c>
      <c r="C28" s="396" t="str">
        <f>'Log frame'!E15</f>
        <v>Enhanced household access to and use of sustainable, affordable, and safe water, sanitation and hygiene services.​</v>
      </c>
      <c r="D28" s="397" t="s">
        <v>36</v>
      </c>
      <c r="E28" s="395" t="s">
        <v>36</v>
      </c>
      <c r="F28" s="395" t="s">
        <v>36</v>
      </c>
      <c r="G28" s="395" t="s">
        <v>36</v>
      </c>
      <c r="H28" s="326" t="s">
        <v>36</v>
      </c>
      <c r="I28" s="326" t="str">
        <f t="shared" si="0"/>
        <v>Mattson</v>
      </c>
      <c r="J28" s="395" t="s">
        <v>36</v>
      </c>
      <c r="K28" s="395" t="s">
        <v>36</v>
      </c>
      <c r="L28" s="395" t="s">
        <v>36</v>
      </c>
      <c r="M28" s="326"/>
      <c r="N28" s="395" t="s">
        <v>36</v>
      </c>
      <c r="O28" s="326" t="s">
        <v>36</v>
      </c>
      <c r="P28" s="326" t="s">
        <v>36</v>
      </c>
      <c r="Q28" s="326" t="s">
        <v>36</v>
      </c>
      <c r="R28" s="326" t="s">
        <v>36</v>
      </c>
      <c r="S28" s="395" t="s">
        <v>36</v>
      </c>
      <c r="T28" s="395" t="s">
        <v>36</v>
      </c>
      <c r="U28" s="358" t="s">
        <v>36</v>
      </c>
      <c r="V28" s="136" t="s">
        <v>207</v>
      </c>
    </row>
    <row r="29" spans="1:22" ht="34.5" hidden="1" customHeight="1">
      <c r="A29" s="399" t="s">
        <v>40</v>
      </c>
      <c r="B29" s="401">
        <v>2100</v>
      </c>
      <c r="C29" s="408" t="str">
        <f>'Log frame'!E17</f>
        <v>Increased household access to sustainable, affordable, and safe drinking water services.​</v>
      </c>
      <c r="D29" s="402" t="s">
        <v>89</v>
      </c>
      <c r="E29" s="401" t="s">
        <v>276</v>
      </c>
      <c r="F29" s="402" t="s">
        <v>91</v>
      </c>
      <c r="G29" s="409" t="s">
        <v>92</v>
      </c>
      <c r="H29" s="348" t="s">
        <v>209</v>
      </c>
      <c r="I29" s="348" t="str">
        <f t="shared" si="0"/>
        <v>Mattson</v>
      </c>
      <c r="J29" s="401" t="s">
        <v>277</v>
      </c>
      <c r="K29" s="410" t="s">
        <v>278</v>
      </c>
      <c r="L29" s="405" t="s">
        <v>279</v>
      </c>
      <c r="M29" s="330" t="s">
        <v>258</v>
      </c>
      <c r="N29" s="405" t="s">
        <v>236</v>
      </c>
      <c r="O29" s="333" t="s">
        <v>215</v>
      </c>
      <c r="P29" s="294"/>
      <c r="Q29" s="294"/>
      <c r="R29" s="331" t="s">
        <v>280</v>
      </c>
      <c r="S29" s="404" t="s">
        <v>246</v>
      </c>
      <c r="T29" s="404" t="s">
        <v>236</v>
      </c>
      <c r="U29" s="362" t="s">
        <v>247</v>
      </c>
      <c r="V29" s="198" t="s">
        <v>281</v>
      </c>
    </row>
    <row r="30" spans="1:22" ht="34.5" hidden="1" customHeight="1">
      <c r="A30" s="399" t="s">
        <v>40</v>
      </c>
      <c r="B30" s="401">
        <v>2100</v>
      </c>
      <c r="C30" s="408" t="str">
        <f>'Log frame'!E17</f>
        <v>Increased household access to sustainable, affordable, and safe drinking water services.​</v>
      </c>
      <c r="D30" s="402" t="s">
        <v>93</v>
      </c>
      <c r="E30" s="401" t="s">
        <v>282</v>
      </c>
      <c r="F30" s="402" t="s">
        <v>94</v>
      </c>
      <c r="G30" s="409" t="s">
        <v>92</v>
      </c>
      <c r="H30" s="348" t="s">
        <v>209</v>
      </c>
      <c r="I30" s="348" t="str">
        <f t="shared" si="0"/>
        <v>Mattson</v>
      </c>
      <c r="J30" s="401" t="s">
        <v>283</v>
      </c>
      <c r="K30" s="410" t="s">
        <v>278</v>
      </c>
      <c r="L30" s="405" t="s">
        <v>279</v>
      </c>
      <c r="M30" s="330" t="s">
        <v>258</v>
      </c>
      <c r="N30" s="405" t="s">
        <v>236</v>
      </c>
      <c r="O30" s="333" t="s">
        <v>215</v>
      </c>
      <c r="P30" s="294"/>
      <c r="Q30" s="294"/>
      <c r="R30" s="331" t="s">
        <v>280</v>
      </c>
      <c r="S30" s="404" t="s">
        <v>246</v>
      </c>
      <c r="T30" s="404" t="s">
        <v>236</v>
      </c>
      <c r="U30" s="362" t="s">
        <v>247</v>
      </c>
      <c r="V30" s="198" t="s">
        <v>281</v>
      </c>
    </row>
    <row r="31" spans="1:22" ht="34.5" hidden="1" customHeight="1">
      <c r="A31" s="399" t="s">
        <v>40</v>
      </c>
      <c r="B31" s="401">
        <v>2100</v>
      </c>
      <c r="C31" s="408" t="str">
        <f>'Log frame'!E17</f>
        <v>Increased household access to sustainable, affordable, and safe drinking water services.​</v>
      </c>
      <c r="D31" s="402" t="s">
        <v>95</v>
      </c>
      <c r="E31" s="402" t="s">
        <v>284</v>
      </c>
      <c r="F31" s="402" t="s">
        <v>96</v>
      </c>
      <c r="G31" s="401" t="s">
        <v>69</v>
      </c>
      <c r="H31" s="348" t="s">
        <v>227</v>
      </c>
      <c r="I31" s="348" t="str">
        <f t="shared" si="0"/>
        <v>Mattson</v>
      </c>
      <c r="J31" s="407" t="s">
        <v>228</v>
      </c>
      <c r="K31" s="403" t="s">
        <v>253</v>
      </c>
      <c r="L31" s="407" t="s">
        <v>279</v>
      </c>
      <c r="M31" s="348" t="s">
        <v>258</v>
      </c>
      <c r="N31" s="405" t="s">
        <v>218</v>
      </c>
      <c r="O31" s="333" t="s">
        <v>215</v>
      </c>
      <c r="P31" s="348"/>
      <c r="Q31" s="348"/>
      <c r="R31" s="350" t="s">
        <v>245</v>
      </c>
      <c r="S31" s="404" t="s">
        <v>246</v>
      </c>
      <c r="T31" s="404" t="s">
        <v>236</v>
      </c>
      <c r="U31" s="362" t="s">
        <v>247</v>
      </c>
      <c r="V31" s="328" t="s">
        <v>248</v>
      </c>
    </row>
    <row r="32" spans="1:22" ht="34.5" hidden="1" customHeight="1">
      <c r="A32" s="357" t="s">
        <v>16</v>
      </c>
      <c r="B32" s="326">
        <v>2110</v>
      </c>
      <c r="C32" s="345" t="str">
        <f>'Log frame'!E19</f>
        <v xml:space="preserve">Develop community managed water points. </v>
      </c>
      <c r="D32" s="340" t="s">
        <v>97</v>
      </c>
      <c r="E32" s="326" t="s">
        <v>285</v>
      </c>
      <c r="F32" s="340" t="s">
        <v>99</v>
      </c>
      <c r="G32" s="352" t="s">
        <v>100</v>
      </c>
      <c r="H32" s="348" t="s">
        <v>209</v>
      </c>
      <c r="I32" s="348" t="str">
        <f t="shared" si="0"/>
        <v>Mattson</v>
      </c>
      <c r="J32" s="353" t="s">
        <v>286</v>
      </c>
      <c r="K32" s="333" t="s">
        <v>253</v>
      </c>
      <c r="L32" s="330" t="s">
        <v>279</v>
      </c>
      <c r="M32" s="330" t="s">
        <v>258</v>
      </c>
      <c r="N32" s="330" t="s">
        <v>218</v>
      </c>
      <c r="O32" s="333" t="s">
        <v>215</v>
      </c>
      <c r="P32" s="294"/>
      <c r="Q32" s="294"/>
      <c r="R32" s="331" t="s">
        <v>280</v>
      </c>
      <c r="S32" s="341" t="s">
        <v>217</v>
      </c>
      <c r="T32" s="341" t="s">
        <v>218</v>
      </c>
      <c r="U32" s="362" t="s">
        <v>247</v>
      </c>
      <c r="V32" s="198" t="s">
        <v>281</v>
      </c>
    </row>
    <row r="33" spans="1:22" ht="34.5" hidden="1" customHeight="1">
      <c r="A33" s="357" t="s">
        <v>16</v>
      </c>
      <c r="B33" s="326">
        <v>2120</v>
      </c>
      <c r="C33" s="345" t="str">
        <f>'Log frame'!E21</f>
        <v>Rehabilitate and expand professionally operated piped water systems.</v>
      </c>
      <c r="D33" s="340" t="s">
        <v>101</v>
      </c>
      <c r="E33" s="326" t="s">
        <v>287</v>
      </c>
      <c r="F33" s="340" t="s">
        <v>103</v>
      </c>
      <c r="G33" s="352" t="s">
        <v>100</v>
      </c>
      <c r="H33" s="348" t="s">
        <v>209</v>
      </c>
      <c r="I33" s="348" t="str">
        <f t="shared" si="0"/>
        <v>Mattson</v>
      </c>
      <c r="J33" s="353" t="s">
        <v>288</v>
      </c>
      <c r="K33" s="333" t="s">
        <v>274</v>
      </c>
      <c r="L33" s="330" t="s">
        <v>279</v>
      </c>
      <c r="M33" s="330" t="s">
        <v>213</v>
      </c>
      <c r="N33" s="330" t="s">
        <v>218</v>
      </c>
      <c r="O33" s="333" t="s">
        <v>215</v>
      </c>
      <c r="P33" s="294"/>
      <c r="Q33" s="294"/>
      <c r="R33" s="331" t="s">
        <v>280</v>
      </c>
      <c r="S33" s="341" t="s">
        <v>217</v>
      </c>
      <c r="T33" s="341" t="s">
        <v>218</v>
      </c>
      <c r="U33" s="362" t="s">
        <v>247</v>
      </c>
      <c r="V33" s="198" t="s">
        <v>281</v>
      </c>
    </row>
    <row r="34" spans="1:22" ht="34.5" hidden="1" customHeight="1">
      <c r="A34" s="399" t="s">
        <v>40</v>
      </c>
      <c r="B34" s="401">
        <v>2200</v>
      </c>
      <c r="C34" s="408" t="str">
        <f>'Log frame'!F17</f>
        <v>Increased household access to sustainable, affordable, and safe sanitation services.​</v>
      </c>
      <c r="D34" s="402" t="s">
        <v>104</v>
      </c>
      <c r="E34" s="401" t="s">
        <v>289</v>
      </c>
      <c r="F34" s="411" t="s">
        <v>106</v>
      </c>
      <c r="G34" s="401" t="s">
        <v>107</v>
      </c>
      <c r="H34" s="348" t="s">
        <v>209</v>
      </c>
      <c r="I34" s="348" t="str">
        <f t="shared" si="0"/>
        <v>Mattson</v>
      </c>
      <c r="J34" s="401" t="s">
        <v>228</v>
      </c>
      <c r="K34" s="403" t="s">
        <v>290</v>
      </c>
      <c r="L34" s="405" t="s">
        <v>233</v>
      </c>
      <c r="M34" s="330" t="s">
        <v>258</v>
      </c>
      <c r="N34" s="405" t="s">
        <v>218</v>
      </c>
      <c r="O34" s="333" t="s">
        <v>215</v>
      </c>
      <c r="P34" s="294"/>
      <c r="Q34" s="294"/>
      <c r="R34" s="331" t="s">
        <v>280</v>
      </c>
      <c r="S34" s="404" t="s">
        <v>291</v>
      </c>
      <c r="T34" s="404" t="s">
        <v>218</v>
      </c>
      <c r="U34" s="362" t="s">
        <v>247</v>
      </c>
      <c r="V34" s="198" t="s">
        <v>281</v>
      </c>
    </row>
    <row r="35" spans="1:22" ht="34.5" customHeight="1">
      <c r="A35" s="399" t="s">
        <v>40</v>
      </c>
      <c r="B35" s="401">
        <v>2200</v>
      </c>
      <c r="C35" s="408" t="str">
        <f>C34</f>
        <v>Increased household access to sustainable, affordable, and safe sanitation services.​</v>
      </c>
      <c r="D35" s="402" t="s">
        <v>108</v>
      </c>
      <c r="E35" s="401" t="s">
        <v>292</v>
      </c>
      <c r="F35" s="402" t="s">
        <v>109</v>
      </c>
      <c r="G35" s="405" t="s">
        <v>107</v>
      </c>
      <c r="H35" s="348" t="s">
        <v>209</v>
      </c>
      <c r="I35" s="348" t="str">
        <f t="shared" si="0"/>
        <v>Mattson</v>
      </c>
      <c r="J35" s="402" t="s">
        <v>293</v>
      </c>
      <c r="K35" s="403" t="s">
        <v>290</v>
      </c>
      <c r="L35" s="405" t="s">
        <v>294</v>
      </c>
      <c r="M35" s="330" t="s">
        <v>258</v>
      </c>
      <c r="N35" s="405" t="s">
        <v>236</v>
      </c>
      <c r="O35" s="333" t="s">
        <v>215</v>
      </c>
      <c r="P35" s="294"/>
      <c r="Q35" s="294"/>
      <c r="R35" s="331" t="s">
        <v>280</v>
      </c>
      <c r="S35" s="404" t="s">
        <v>246</v>
      </c>
      <c r="T35" s="404" t="s">
        <v>236</v>
      </c>
      <c r="U35" s="362" t="s">
        <v>247</v>
      </c>
      <c r="V35" s="198" t="s">
        <v>281</v>
      </c>
    </row>
    <row r="36" spans="1:22" ht="34.5" hidden="1" customHeight="1">
      <c r="A36" s="399" t="s">
        <v>40</v>
      </c>
      <c r="B36" s="401">
        <v>2200</v>
      </c>
      <c r="C36" s="408" t="str">
        <f>'Log frame'!F17</f>
        <v>Increased household access to sustainable, affordable, and safe sanitation services.​</v>
      </c>
      <c r="D36" s="402" t="s">
        <v>110</v>
      </c>
      <c r="E36" s="401" t="s">
        <v>295</v>
      </c>
      <c r="F36" s="402" t="s">
        <v>111</v>
      </c>
      <c r="G36" s="405" t="s">
        <v>112</v>
      </c>
      <c r="H36" s="326" t="s">
        <v>296</v>
      </c>
      <c r="I36" s="326" t="str">
        <f t="shared" si="0"/>
        <v>Mattson</v>
      </c>
      <c r="J36" s="401" t="s">
        <v>297</v>
      </c>
      <c r="K36" s="410" t="s">
        <v>278</v>
      </c>
      <c r="L36" s="405" t="s">
        <v>279</v>
      </c>
      <c r="M36" s="330" t="s">
        <v>258</v>
      </c>
      <c r="N36" s="405" t="s">
        <v>298</v>
      </c>
      <c r="O36" s="333" t="s">
        <v>215</v>
      </c>
      <c r="P36" s="294"/>
      <c r="Q36" s="294"/>
      <c r="R36" s="331" t="s">
        <v>280</v>
      </c>
      <c r="S36" s="412" t="s">
        <v>299</v>
      </c>
      <c r="T36" s="404" t="s">
        <v>236</v>
      </c>
      <c r="U36" s="362" t="s">
        <v>247</v>
      </c>
      <c r="V36" s="198" t="s">
        <v>281</v>
      </c>
    </row>
    <row r="37" spans="1:22" ht="34.5" hidden="1" customHeight="1">
      <c r="A37" s="357" t="s">
        <v>16</v>
      </c>
      <c r="B37" s="339">
        <v>2210</v>
      </c>
      <c r="C37" s="345" t="str">
        <f>'Log frame'!F19</f>
        <v>Mobilize communities to achieve Open Defecation Free status</v>
      </c>
      <c r="D37" s="340" t="s">
        <v>113</v>
      </c>
      <c r="E37" s="342" t="s">
        <v>300</v>
      </c>
      <c r="F37" s="340" t="s">
        <v>115</v>
      </c>
      <c r="G37" s="352" t="s">
        <v>100</v>
      </c>
      <c r="H37" s="326" t="s">
        <v>296</v>
      </c>
      <c r="I37" s="326" t="str">
        <f t="shared" si="0"/>
        <v>Mattson</v>
      </c>
      <c r="J37" s="326" t="s">
        <v>297</v>
      </c>
      <c r="K37" s="331" t="s">
        <v>278</v>
      </c>
      <c r="L37" s="326" t="s">
        <v>279</v>
      </c>
      <c r="M37" s="326" t="s">
        <v>258</v>
      </c>
      <c r="N37" s="330" t="s">
        <v>214</v>
      </c>
      <c r="O37" s="333" t="s">
        <v>215</v>
      </c>
      <c r="P37" s="294"/>
      <c r="Q37" s="294"/>
      <c r="R37" s="331" t="s">
        <v>280</v>
      </c>
      <c r="S37" s="341" t="s">
        <v>217</v>
      </c>
      <c r="T37" s="341" t="s">
        <v>218</v>
      </c>
      <c r="U37" s="362" t="s">
        <v>247</v>
      </c>
      <c r="V37" s="198" t="s">
        <v>281</v>
      </c>
    </row>
    <row r="38" spans="1:22" ht="34.5" hidden="1" customHeight="1">
      <c r="A38" s="357" t="s">
        <v>16</v>
      </c>
      <c r="B38" s="339">
        <v>2230</v>
      </c>
      <c r="C38" s="345" t="str">
        <f>'Log frame'!F23</f>
        <v>Construct public latrines.</v>
      </c>
      <c r="D38" s="340" t="s">
        <v>116</v>
      </c>
      <c r="E38" s="326" t="s">
        <v>301</v>
      </c>
      <c r="F38" s="326" t="s">
        <v>118</v>
      </c>
      <c r="G38" s="352" t="s">
        <v>119</v>
      </c>
      <c r="H38" s="348" t="s">
        <v>209</v>
      </c>
      <c r="I38" s="348" t="s">
        <v>302</v>
      </c>
      <c r="J38" s="340" t="s">
        <v>293</v>
      </c>
      <c r="K38" s="331" t="s">
        <v>303</v>
      </c>
      <c r="L38" s="330" t="s">
        <v>279</v>
      </c>
      <c r="M38" s="330" t="s">
        <v>213</v>
      </c>
      <c r="N38" s="330" t="s">
        <v>218</v>
      </c>
      <c r="O38" s="333" t="s">
        <v>215</v>
      </c>
      <c r="P38" s="294"/>
      <c r="Q38" s="294"/>
      <c r="R38" s="331" t="s">
        <v>280</v>
      </c>
      <c r="S38" s="341" t="s">
        <v>246</v>
      </c>
      <c r="T38" s="341" t="s">
        <v>218</v>
      </c>
      <c r="U38" s="362" t="s">
        <v>247</v>
      </c>
      <c r="V38" s="198" t="s">
        <v>304</v>
      </c>
    </row>
    <row r="39" spans="1:22" ht="34.5" hidden="1" customHeight="1">
      <c r="A39" s="399" t="s">
        <v>40</v>
      </c>
      <c r="B39" s="401">
        <v>2300</v>
      </c>
      <c r="C39" s="402" t="str">
        <f>'Log frame'!G17</f>
        <v>Increased household access to hygiene services.</v>
      </c>
      <c r="D39" s="402" t="s">
        <v>120</v>
      </c>
      <c r="E39" s="401" t="s">
        <v>305</v>
      </c>
      <c r="F39" s="402" t="s">
        <v>122</v>
      </c>
      <c r="G39" s="409" t="s">
        <v>123</v>
      </c>
      <c r="H39" s="326" t="s">
        <v>227</v>
      </c>
      <c r="I39" s="326" t="str">
        <f t="shared" si="0"/>
        <v>Mattson</v>
      </c>
      <c r="J39" s="413" t="s">
        <v>306</v>
      </c>
      <c r="K39" s="410" t="s">
        <v>278</v>
      </c>
      <c r="L39" s="405" t="s">
        <v>279</v>
      </c>
      <c r="M39" s="330" t="s">
        <v>258</v>
      </c>
      <c r="N39" s="405" t="s">
        <v>298</v>
      </c>
      <c r="O39" s="333" t="s">
        <v>215</v>
      </c>
      <c r="P39" s="294"/>
      <c r="Q39" s="294"/>
      <c r="R39" s="331" t="s">
        <v>280</v>
      </c>
      <c r="S39" s="412" t="s">
        <v>299</v>
      </c>
      <c r="T39" s="404" t="s">
        <v>218</v>
      </c>
      <c r="U39" s="362" t="s">
        <v>247</v>
      </c>
      <c r="V39" s="198" t="s">
        <v>307</v>
      </c>
    </row>
    <row r="40" spans="1:22" ht="34.5" hidden="1" customHeight="1">
      <c r="A40" s="357" t="s">
        <v>16</v>
      </c>
      <c r="B40" s="339">
        <v>2310</v>
      </c>
      <c r="C40" s="326" t="str">
        <f>'Log frame'!G19</f>
        <v>Train skilled community animators to deliver hygiene trainings and community mobilization.​</v>
      </c>
      <c r="D40" s="340" t="s">
        <v>124</v>
      </c>
      <c r="E40" s="326" t="s">
        <v>308</v>
      </c>
      <c r="F40" s="326" t="s">
        <v>126</v>
      </c>
      <c r="G40" s="352" t="s">
        <v>127</v>
      </c>
      <c r="H40" s="326" t="s">
        <v>227</v>
      </c>
      <c r="I40" s="326" t="str">
        <f t="shared" si="0"/>
        <v>Mattson</v>
      </c>
      <c r="J40" s="326" t="s">
        <v>228</v>
      </c>
      <c r="K40" s="333" t="s">
        <v>309</v>
      </c>
      <c r="L40" s="330" t="s">
        <v>279</v>
      </c>
      <c r="M40" s="330" t="s">
        <v>258</v>
      </c>
      <c r="N40" s="330" t="s">
        <v>268</v>
      </c>
      <c r="O40" s="333" t="s">
        <v>215</v>
      </c>
      <c r="P40" s="294"/>
      <c r="Q40" s="294"/>
      <c r="R40" s="330" t="s">
        <v>223</v>
      </c>
      <c r="S40" s="341" t="s">
        <v>291</v>
      </c>
      <c r="T40" s="341" t="s">
        <v>218</v>
      </c>
      <c r="U40" s="359" t="s">
        <v>215</v>
      </c>
      <c r="V40" s="198" t="s">
        <v>240</v>
      </c>
    </row>
    <row r="41" spans="1:22" ht="34.5" hidden="1" customHeight="1">
      <c r="A41" s="357" t="s">
        <v>16</v>
      </c>
      <c r="B41" s="339">
        <v>2310</v>
      </c>
      <c r="C41" s="326" t="s">
        <v>125</v>
      </c>
      <c r="D41" s="326" t="s">
        <v>128</v>
      </c>
      <c r="E41" s="326" t="s">
        <v>310</v>
      </c>
      <c r="F41" s="326" t="s">
        <v>129</v>
      </c>
      <c r="G41" s="352" t="s">
        <v>130</v>
      </c>
      <c r="H41" s="326" t="s">
        <v>221</v>
      </c>
      <c r="I41" s="326" t="s">
        <v>222</v>
      </c>
      <c r="J41" s="326" t="s">
        <v>311</v>
      </c>
      <c r="K41" s="333" t="s">
        <v>312</v>
      </c>
      <c r="L41" s="330" t="s">
        <v>279</v>
      </c>
      <c r="M41" s="330" t="s">
        <v>213</v>
      </c>
      <c r="N41" s="330" t="s">
        <v>214</v>
      </c>
      <c r="O41" s="333" t="s">
        <v>215</v>
      </c>
      <c r="P41" s="330" t="s">
        <v>223</v>
      </c>
      <c r="Q41" s="341" t="s">
        <v>259</v>
      </c>
      <c r="R41" s="330" t="s">
        <v>223</v>
      </c>
      <c r="S41" s="341" t="s">
        <v>217</v>
      </c>
      <c r="T41" s="341" t="s">
        <v>218</v>
      </c>
      <c r="U41" s="359" t="s">
        <v>215</v>
      </c>
      <c r="V41"/>
    </row>
    <row r="42" spans="1:22" ht="34.5" hidden="1" customHeight="1">
      <c r="A42" s="357" t="s">
        <v>16</v>
      </c>
      <c r="B42" s="339">
        <v>2320</v>
      </c>
      <c r="C42" s="345" t="str">
        <f>'Log frame'!G21</f>
        <v>Certify the sustained usage of hygiene services.</v>
      </c>
      <c r="D42" s="326" t="s">
        <v>131</v>
      </c>
      <c r="E42" s="326" t="s">
        <v>313</v>
      </c>
      <c r="F42" s="340" t="s">
        <v>132</v>
      </c>
      <c r="G42" s="352" t="s">
        <v>100</v>
      </c>
      <c r="H42" s="326" t="s">
        <v>227</v>
      </c>
      <c r="I42" s="326" t="str">
        <f t="shared" si="0"/>
        <v>Mattson</v>
      </c>
      <c r="J42" s="326" t="s">
        <v>228</v>
      </c>
      <c r="K42" s="333" t="s">
        <v>290</v>
      </c>
      <c r="L42" s="330" t="s">
        <v>279</v>
      </c>
      <c r="M42" s="330" t="s">
        <v>258</v>
      </c>
      <c r="N42" s="330" t="s">
        <v>214</v>
      </c>
      <c r="O42" s="333" t="s">
        <v>215</v>
      </c>
      <c r="P42" s="294"/>
      <c r="Q42" s="294"/>
      <c r="R42" s="330" t="s">
        <v>223</v>
      </c>
      <c r="S42" s="341" t="s">
        <v>246</v>
      </c>
      <c r="T42" s="341" t="s">
        <v>218</v>
      </c>
      <c r="U42" s="359" t="s">
        <v>215</v>
      </c>
      <c r="V42" s="198" t="s">
        <v>240</v>
      </c>
    </row>
    <row r="43" spans="1:22" ht="47.1" hidden="1" customHeight="1">
      <c r="A43" s="399" t="s">
        <v>40</v>
      </c>
      <c r="B43" s="401">
        <v>2400</v>
      </c>
      <c r="C43" s="402" t="str">
        <f>'Log frame'!H17</f>
        <v>Increased access to sustainable, safe drinking water, sanitation, and hygiene materials in healthcare facilities, schools, and public places.</v>
      </c>
      <c r="D43" s="402" t="s">
        <v>133</v>
      </c>
      <c r="E43" s="414" t="s">
        <v>314</v>
      </c>
      <c r="F43" s="414" t="s">
        <v>135</v>
      </c>
      <c r="G43" s="405" t="s">
        <v>136</v>
      </c>
      <c r="H43" s="348" t="s">
        <v>209</v>
      </c>
      <c r="I43" s="348" t="s">
        <v>302</v>
      </c>
      <c r="J43" s="401" t="s">
        <v>315</v>
      </c>
      <c r="K43" s="403" t="s">
        <v>316</v>
      </c>
      <c r="L43" s="405" t="s">
        <v>279</v>
      </c>
      <c r="M43" s="330" t="s">
        <v>258</v>
      </c>
      <c r="N43" s="405" t="s">
        <v>236</v>
      </c>
      <c r="O43" s="333" t="s">
        <v>215</v>
      </c>
      <c r="P43" s="294"/>
      <c r="Q43" s="294"/>
      <c r="R43" s="331" t="s">
        <v>317</v>
      </c>
      <c r="S43" s="412" t="s">
        <v>246</v>
      </c>
      <c r="T43" s="404" t="s">
        <v>236</v>
      </c>
      <c r="U43" s="362" t="s">
        <v>247</v>
      </c>
      <c r="V43" s="198" t="s">
        <v>248</v>
      </c>
    </row>
    <row r="44" spans="1:22" ht="56.1" hidden="1" customHeight="1">
      <c r="A44" s="399" t="s">
        <v>40</v>
      </c>
      <c r="B44" s="401">
        <v>2400</v>
      </c>
      <c r="C44" s="402" t="str">
        <f>'Log frame'!H17</f>
        <v>Increased access to sustainable, safe drinking water, sanitation, and hygiene materials in healthcare facilities, schools, and public places.</v>
      </c>
      <c r="D44" s="402" t="s">
        <v>137</v>
      </c>
      <c r="E44" s="415" t="s">
        <v>318</v>
      </c>
      <c r="F44" s="414" t="s">
        <v>138</v>
      </c>
      <c r="G44" s="405" t="s">
        <v>139</v>
      </c>
      <c r="H44" s="348" t="s">
        <v>209</v>
      </c>
      <c r="I44" s="348" t="s">
        <v>302</v>
      </c>
      <c r="J44" s="401" t="s">
        <v>315</v>
      </c>
      <c r="K44" s="403" t="s">
        <v>319</v>
      </c>
      <c r="L44" s="405" t="s">
        <v>279</v>
      </c>
      <c r="M44" s="330" t="s">
        <v>258</v>
      </c>
      <c r="N44" s="405" t="s">
        <v>236</v>
      </c>
      <c r="O44" s="333" t="s">
        <v>215</v>
      </c>
      <c r="P44" s="294"/>
      <c r="Q44" s="294"/>
      <c r="R44" s="331" t="s">
        <v>320</v>
      </c>
      <c r="S44" s="412" t="s">
        <v>246</v>
      </c>
      <c r="T44" s="404" t="s">
        <v>236</v>
      </c>
      <c r="U44" s="362" t="s">
        <v>247</v>
      </c>
      <c r="V44" s="198" t="s">
        <v>248</v>
      </c>
    </row>
    <row r="45" spans="1:22" ht="34.5" hidden="1" customHeight="1">
      <c r="A45" s="357" t="s">
        <v>16</v>
      </c>
      <c r="B45" s="339">
        <v>2410</v>
      </c>
      <c r="C45" s="326" t="str">
        <f>'Log frame'!H19</f>
        <v>Construct or rehabilitate water supply for healthcare facilities and schools.</v>
      </c>
      <c r="D45" s="339" t="s">
        <v>140</v>
      </c>
      <c r="E45" s="354" t="s">
        <v>321</v>
      </c>
      <c r="F45" s="354" t="s">
        <v>142</v>
      </c>
      <c r="G45" s="330" t="s">
        <v>143</v>
      </c>
      <c r="H45" s="348" t="s">
        <v>209</v>
      </c>
      <c r="I45" s="348" t="s">
        <v>302</v>
      </c>
      <c r="J45" s="326" t="s">
        <v>322</v>
      </c>
      <c r="K45" s="333" t="s">
        <v>316</v>
      </c>
      <c r="L45" s="330" t="s">
        <v>279</v>
      </c>
      <c r="M45" s="330" t="s">
        <v>258</v>
      </c>
      <c r="N45" s="330" t="s">
        <v>218</v>
      </c>
      <c r="O45" s="333" t="s">
        <v>215</v>
      </c>
      <c r="P45" s="294"/>
      <c r="Q45" s="294"/>
      <c r="R45" s="331" t="s">
        <v>317</v>
      </c>
      <c r="S45" s="341" t="s">
        <v>246</v>
      </c>
      <c r="T45" s="341" t="s">
        <v>236</v>
      </c>
      <c r="U45" s="362" t="s">
        <v>247</v>
      </c>
      <c r="V45" s="198" t="s">
        <v>248</v>
      </c>
    </row>
    <row r="46" spans="1:22" ht="34.5" hidden="1" customHeight="1">
      <c r="A46" s="357" t="s">
        <v>16</v>
      </c>
      <c r="B46" s="339">
        <v>2410</v>
      </c>
      <c r="C46" s="326" t="str">
        <f>'Log frame'!H19</f>
        <v>Construct or rehabilitate water supply for healthcare facilities and schools.</v>
      </c>
      <c r="D46" s="339" t="s">
        <v>144</v>
      </c>
      <c r="E46" s="346" t="s">
        <v>323</v>
      </c>
      <c r="F46" s="354" t="s">
        <v>145</v>
      </c>
      <c r="G46" s="330" t="s">
        <v>146</v>
      </c>
      <c r="H46" s="348" t="s">
        <v>209</v>
      </c>
      <c r="I46" s="348" t="s">
        <v>302</v>
      </c>
      <c r="J46" s="326" t="s">
        <v>322</v>
      </c>
      <c r="K46" s="333" t="s">
        <v>319</v>
      </c>
      <c r="L46" s="330" t="s">
        <v>279</v>
      </c>
      <c r="M46" s="330" t="s">
        <v>258</v>
      </c>
      <c r="N46" s="330" t="s">
        <v>218</v>
      </c>
      <c r="O46" s="333" t="s">
        <v>215</v>
      </c>
      <c r="P46" s="294"/>
      <c r="Q46" s="294"/>
      <c r="R46" s="331" t="s">
        <v>320</v>
      </c>
      <c r="S46" s="341" t="s">
        <v>246</v>
      </c>
      <c r="T46" s="341" t="s">
        <v>236</v>
      </c>
      <c r="U46" s="362" t="s">
        <v>247</v>
      </c>
      <c r="V46" s="198" t="s">
        <v>248</v>
      </c>
    </row>
    <row r="47" spans="1:22" ht="34.5" hidden="1" customHeight="1">
      <c r="A47" s="357" t="s">
        <v>16</v>
      </c>
      <c r="B47" s="339">
        <v>2420</v>
      </c>
      <c r="C47" s="345" t="str">
        <f>'Log frame'!H21</f>
        <v>Construct communal, healthcare facility, and school latrines.</v>
      </c>
      <c r="D47" s="326" t="s">
        <v>147</v>
      </c>
      <c r="E47" s="346" t="s">
        <v>324</v>
      </c>
      <c r="F47" s="354" t="s">
        <v>149</v>
      </c>
      <c r="G47" s="330" t="s">
        <v>143</v>
      </c>
      <c r="H47" s="348" t="s">
        <v>209</v>
      </c>
      <c r="I47" s="348" t="s">
        <v>302</v>
      </c>
      <c r="J47" s="326" t="s">
        <v>325</v>
      </c>
      <c r="K47" s="333" t="s">
        <v>316</v>
      </c>
      <c r="L47" s="330" t="s">
        <v>279</v>
      </c>
      <c r="M47" s="330" t="s">
        <v>258</v>
      </c>
      <c r="N47" s="330" t="s">
        <v>218</v>
      </c>
      <c r="O47" s="333" t="s">
        <v>215</v>
      </c>
      <c r="P47" s="294"/>
      <c r="Q47" s="294"/>
      <c r="R47" s="331" t="s">
        <v>317</v>
      </c>
      <c r="S47" s="341" t="s">
        <v>246</v>
      </c>
      <c r="T47" s="341" t="s">
        <v>236</v>
      </c>
      <c r="U47" s="362" t="s">
        <v>247</v>
      </c>
      <c r="V47" s="198" t="s">
        <v>248</v>
      </c>
    </row>
    <row r="48" spans="1:22" ht="34.5" hidden="1" customHeight="1">
      <c r="A48" s="357" t="s">
        <v>16</v>
      </c>
      <c r="B48" s="339">
        <v>2420</v>
      </c>
      <c r="C48" s="345" t="str">
        <f>'Log frame'!H21</f>
        <v>Construct communal, healthcare facility, and school latrines.</v>
      </c>
      <c r="D48" s="326" t="s">
        <v>150</v>
      </c>
      <c r="E48" s="346" t="s">
        <v>326</v>
      </c>
      <c r="F48" s="354" t="s">
        <v>151</v>
      </c>
      <c r="G48" s="330" t="s">
        <v>146</v>
      </c>
      <c r="H48" s="348" t="s">
        <v>209</v>
      </c>
      <c r="I48" s="348" t="s">
        <v>302</v>
      </c>
      <c r="J48" s="326" t="s">
        <v>325</v>
      </c>
      <c r="K48" s="333" t="s">
        <v>319</v>
      </c>
      <c r="L48" s="330" t="s">
        <v>279</v>
      </c>
      <c r="M48" s="330" t="s">
        <v>258</v>
      </c>
      <c r="N48" s="330" t="s">
        <v>218</v>
      </c>
      <c r="O48" s="333" t="s">
        <v>215</v>
      </c>
      <c r="P48" s="294"/>
      <c r="Q48" s="294"/>
      <c r="R48" s="331" t="s">
        <v>320</v>
      </c>
      <c r="S48" s="341" t="s">
        <v>246</v>
      </c>
      <c r="T48" s="341" t="s">
        <v>236</v>
      </c>
      <c r="U48" s="362" t="s">
        <v>247</v>
      </c>
      <c r="V48" s="198" t="s">
        <v>248</v>
      </c>
    </row>
    <row r="49" spans="1:32" ht="34.5" hidden="1" customHeight="1">
      <c r="A49" s="357" t="s">
        <v>16</v>
      </c>
      <c r="B49" s="339">
        <v>2430</v>
      </c>
      <c r="C49" s="326" t="str">
        <f>'Log frame'!H23</f>
        <v>Work with (local authorities, civil society) to ensure access to soap or alcohol-based handrub at schools and healthcare facilities.</v>
      </c>
      <c r="D49" s="326" t="s">
        <v>152</v>
      </c>
      <c r="E49" s="326" t="s">
        <v>327</v>
      </c>
      <c r="F49" s="354" t="s">
        <v>154</v>
      </c>
      <c r="G49" s="330" t="s">
        <v>143</v>
      </c>
      <c r="H49" s="348" t="s">
        <v>209</v>
      </c>
      <c r="I49" s="348" t="s">
        <v>302</v>
      </c>
      <c r="J49" s="326" t="s">
        <v>328</v>
      </c>
      <c r="K49" s="333" t="s">
        <v>316</v>
      </c>
      <c r="L49" s="330" t="s">
        <v>279</v>
      </c>
      <c r="M49" s="330" t="s">
        <v>258</v>
      </c>
      <c r="N49" s="330" t="s">
        <v>218</v>
      </c>
      <c r="O49" s="333" t="s">
        <v>215</v>
      </c>
      <c r="P49" s="294"/>
      <c r="Q49" s="294"/>
      <c r="R49" s="331" t="s">
        <v>317</v>
      </c>
      <c r="S49" s="341" t="s">
        <v>246</v>
      </c>
      <c r="T49" s="341" t="s">
        <v>236</v>
      </c>
      <c r="U49" s="362" t="s">
        <v>247</v>
      </c>
      <c r="V49" s="336" t="s">
        <v>248</v>
      </c>
    </row>
    <row r="50" spans="1:32" ht="34.5" hidden="1" customHeight="1">
      <c r="A50" s="357" t="s">
        <v>16</v>
      </c>
      <c r="B50" s="339">
        <v>2430</v>
      </c>
      <c r="C50" s="326" t="str">
        <f>'Log frame'!H23</f>
        <v>Work with (local authorities, civil society) to ensure access to soap or alcohol-based handrub at schools and healthcare facilities.</v>
      </c>
      <c r="D50" s="326" t="s">
        <v>155</v>
      </c>
      <c r="E50" s="326" t="s">
        <v>329</v>
      </c>
      <c r="F50" s="354" t="s">
        <v>156</v>
      </c>
      <c r="G50" s="330" t="s">
        <v>146</v>
      </c>
      <c r="H50" s="348" t="s">
        <v>209</v>
      </c>
      <c r="I50" s="348" t="s">
        <v>302</v>
      </c>
      <c r="J50" s="326" t="s">
        <v>330</v>
      </c>
      <c r="K50" s="333" t="s">
        <v>319</v>
      </c>
      <c r="L50" s="330" t="s">
        <v>279</v>
      </c>
      <c r="M50" s="330" t="s">
        <v>258</v>
      </c>
      <c r="N50" s="330" t="s">
        <v>218</v>
      </c>
      <c r="O50" s="333" t="s">
        <v>215</v>
      </c>
      <c r="P50" s="294"/>
      <c r="Q50" s="294"/>
      <c r="R50" s="331" t="s">
        <v>320</v>
      </c>
      <c r="S50" s="341" t="s">
        <v>246</v>
      </c>
      <c r="T50" s="341" t="s">
        <v>236</v>
      </c>
      <c r="U50" s="362" t="s">
        <v>247</v>
      </c>
      <c r="V50" s="198" t="s">
        <v>248</v>
      </c>
    </row>
    <row r="51" spans="1:32" ht="34.5" hidden="1" customHeight="1">
      <c r="A51" s="393" t="s">
        <v>37</v>
      </c>
      <c r="B51" s="395">
        <v>3000</v>
      </c>
      <c r="C51" s="395" t="str">
        <f>'Log frame'!I15</f>
        <v>Expanded reach and resources leveraged through collective action with other national and international actors.​</v>
      </c>
      <c r="D51" s="395" t="s">
        <v>36</v>
      </c>
      <c r="E51" s="395" t="s">
        <v>36</v>
      </c>
      <c r="F51" s="395" t="s">
        <v>36</v>
      </c>
      <c r="G51" s="398" t="s">
        <v>36</v>
      </c>
      <c r="H51" s="326" t="s">
        <v>36</v>
      </c>
      <c r="I51" s="326" t="str">
        <f t="shared" si="0"/>
        <v>Mattson</v>
      </c>
      <c r="J51" s="398" t="s">
        <v>36</v>
      </c>
      <c r="K51" s="398" t="s">
        <v>36</v>
      </c>
      <c r="L51" s="398" t="s">
        <v>36</v>
      </c>
      <c r="M51" s="330"/>
      <c r="N51" s="398" t="s">
        <v>36</v>
      </c>
      <c r="O51" s="330" t="s">
        <v>36</v>
      </c>
      <c r="P51" s="330" t="s">
        <v>36</v>
      </c>
      <c r="Q51" s="330" t="s">
        <v>36</v>
      </c>
      <c r="R51" s="330" t="s">
        <v>36</v>
      </c>
      <c r="S51" s="398" t="s">
        <v>36</v>
      </c>
      <c r="T51" s="398" t="s">
        <v>36</v>
      </c>
      <c r="U51" s="361" t="s">
        <v>36</v>
      </c>
      <c r="V51" s="136" t="s">
        <v>207</v>
      </c>
    </row>
    <row r="52" spans="1:32" ht="34.5" hidden="1" customHeight="1">
      <c r="A52" s="399" t="s">
        <v>40</v>
      </c>
      <c r="B52" s="401">
        <v>3100</v>
      </c>
      <c r="C52" s="401" t="str">
        <f>'Log frame'!I17</f>
        <v>Increased government and non-government funding in alignment with HANWASH Core Values.</v>
      </c>
      <c r="D52" s="401" t="s">
        <v>157</v>
      </c>
      <c r="E52" s="401" t="s">
        <v>331</v>
      </c>
      <c r="F52" s="407" t="s">
        <v>158</v>
      </c>
      <c r="G52" s="405" t="s">
        <v>159</v>
      </c>
      <c r="H52" s="330" t="s">
        <v>332</v>
      </c>
      <c r="I52" s="330" t="str">
        <f t="shared" si="0"/>
        <v>Mattson</v>
      </c>
      <c r="J52" s="405" t="s">
        <v>333</v>
      </c>
      <c r="K52" s="403" t="s">
        <v>334</v>
      </c>
      <c r="L52" s="405" t="s">
        <v>335</v>
      </c>
      <c r="M52" s="330" t="s">
        <v>213</v>
      </c>
      <c r="N52" s="405" t="s">
        <v>236</v>
      </c>
      <c r="O52" s="350" t="s">
        <v>231</v>
      </c>
      <c r="P52" s="330"/>
      <c r="Q52" s="330"/>
      <c r="R52" s="330" t="s">
        <v>223</v>
      </c>
      <c r="S52" s="405" t="s">
        <v>336</v>
      </c>
      <c r="T52" s="405" t="s">
        <v>236</v>
      </c>
      <c r="U52" s="361" t="s">
        <v>231</v>
      </c>
      <c r="V52" s="328" t="s">
        <v>337</v>
      </c>
    </row>
    <row r="53" spans="1:32" ht="38.25" hidden="1" customHeight="1">
      <c r="A53" s="399" t="s">
        <v>40</v>
      </c>
      <c r="B53" s="401">
        <v>3100</v>
      </c>
      <c r="C53" s="401" t="str">
        <f>'Log frame'!I17</f>
        <v>Increased government and non-government funding in alignment with HANWASH Core Values.</v>
      </c>
      <c r="D53" s="409" t="s">
        <v>160</v>
      </c>
      <c r="E53" s="401" t="s">
        <v>338</v>
      </c>
      <c r="F53" s="407" t="s">
        <v>161</v>
      </c>
      <c r="G53" s="405" t="s">
        <v>162</v>
      </c>
      <c r="H53" s="330" t="s">
        <v>209</v>
      </c>
      <c r="I53" s="330" t="s">
        <v>222</v>
      </c>
      <c r="J53" s="405" t="s">
        <v>339</v>
      </c>
      <c r="K53" s="403" t="s">
        <v>334</v>
      </c>
      <c r="L53" s="405" t="s">
        <v>335</v>
      </c>
      <c r="M53" s="330" t="s">
        <v>213</v>
      </c>
      <c r="N53" s="405" t="s">
        <v>236</v>
      </c>
      <c r="O53" s="350" t="s">
        <v>231</v>
      </c>
      <c r="P53" s="330"/>
      <c r="Q53" s="330"/>
      <c r="R53" s="330" t="s">
        <v>223</v>
      </c>
      <c r="S53" s="405" t="s">
        <v>336</v>
      </c>
      <c r="T53" s="405" t="s">
        <v>236</v>
      </c>
      <c r="U53" s="361" t="s">
        <v>247</v>
      </c>
      <c r="V53" s="328" t="s">
        <v>240</v>
      </c>
      <c r="W53" s="8"/>
      <c r="X53" s="8"/>
      <c r="Y53" s="8"/>
      <c r="Z53" s="8"/>
      <c r="AA53" s="8"/>
      <c r="AB53" s="8"/>
      <c r="AC53" s="8"/>
      <c r="AD53" s="8"/>
      <c r="AE53" s="8"/>
      <c r="AF53" s="8"/>
    </row>
    <row r="54" spans="1:32" ht="34.5" hidden="1" customHeight="1">
      <c r="A54" s="357" t="s">
        <v>16</v>
      </c>
      <c r="B54" s="339">
        <v>3110</v>
      </c>
      <c r="C54" s="345" t="str">
        <f>'Log frame'!I19</f>
        <v>Mobilize and coordinate funding from government and non-government sources in HANWASH program areas in alignment with HANWASH Core Values.</v>
      </c>
      <c r="D54" s="326" t="s">
        <v>163</v>
      </c>
      <c r="E54" s="326" t="s">
        <v>340</v>
      </c>
      <c r="F54" s="340" t="s">
        <v>164</v>
      </c>
      <c r="G54" s="352" t="s">
        <v>159</v>
      </c>
      <c r="H54" s="326" t="s">
        <v>332</v>
      </c>
      <c r="I54" s="326" t="str">
        <f t="shared" si="0"/>
        <v>Mattson</v>
      </c>
      <c r="J54" s="326" t="s">
        <v>341</v>
      </c>
      <c r="K54" s="333" t="s">
        <v>334</v>
      </c>
      <c r="L54" s="330" t="s">
        <v>335</v>
      </c>
      <c r="M54" s="330" t="s">
        <v>213</v>
      </c>
      <c r="N54" s="330" t="s">
        <v>236</v>
      </c>
      <c r="O54" s="333" t="s">
        <v>231</v>
      </c>
      <c r="P54" s="294"/>
      <c r="Q54" s="294"/>
      <c r="R54" s="341" t="s">
        <v>223</v>
      </c>
      <c r="S54" s="341" t="s">
        <v>336</v>
      </c>
      <c r="T54" s="341" t="s">
        <v>236</v>
      </c>
      <c r="U54" s="359" t="s">
        <v>231</v>
      </c>
      <c r="V54" s="198" t="s">
        <v>337</v>
      </c>
    </row>
    <row r="55" spans="1:32" ht="34.5" hidden="1" customHeight="1">
      <c r="A55" s="357" t="s">
        <v>16</v>
      </c>
      <c r="B55" s="339">
        <v>3120</v>
      </c>
      <c r="C55" s="345" t="str">
        <f>'Log frame'!I21</f>
        <v>Mobilize and influence funding from government and non-government sources beyond HANWASH program areas in alignment with HANWASH Core Values.</v>
      </c>
      <c r="D55" s="326" t="s">
        <v>165</v>
      </c>
      <c r="E55" s="326" t="s">
        <v>342</v>
      </c>
      <c r="F55" s="340" t="s">
        <v>166</v>
      </c>
      <c r="G55" s="352" t="s">
        <v>159</v>
      </c>
      <c r="H55" s="326" t="s">
        <v>332</v>
      </c>
      <c r="I55" s="326" t="s">
        <v>302</v>
      </c>
      <c r="J55" s="326" t="s">
        <v>341</v>
      </c>
      <c r="K55" s="333" t="s">
        <v>334</v>
      </c>
      <c r="L55" s="330" t="s">
        <v>335</v>
      </c>
      <c r="M55" s="330" t="s">
        <v>213</v>
      </c>
      <c r="N55" s="330" t="s">
        <v>236</v>
      </c>
      <c r="O55" s="333" t="s">
        <v>231</v>
      </c>
      <c r="P55" s="294"/>
      <c r="Q55" s="294"/>
      <c r="R55" s="341" t="s">
        <v>223</v>
      </c>
      <c r="S55" s="341" t="s">
        <v>336</v>
      </c>
      <c r="T55" s="341" t="s">
        <v>236</v>
      </c>
      <c r="U55" s="359" t="s">
        <v>231</v>
      </c>
      <c r="V55" s="198" t="s">
        <v>337</v>
      </c>
    </row>
    <row r="56" spans="1:32" ht="34.5" hidden="1" customHeight="1">
      <c r="A56" s="399" t="s">
        <v>40</v>
      </c>
      <c r="B56" s="416">
        <v>3200</v>
      </c>
      <c r="C56" s="417" t="str">
        <f>'Log frame'!J17</f>
        <v>Increased capacity of DINEPA to regulate the sector and OREPA to oversee and support implementation.</v>
      </c>
      <c r="D56" s="405" t="s">
        <v>167</v>
      </c>
      <c r="E56" s="401" t="s">
        <v>343</v>
      </c>
      <c r="F56" s="401" t="s">
        <v>168</v>
      </c>
      <c r="G56" s="400" t="s">
        <v>169</v>
      </c>
      <c r="H56" s="339" t="s">
        <v>227</v>
      </c>
      <c r="I56" s="339" t="str">
        <f t="shared" si="0"/>
        <v>Mattson</v>
      </c>
      <c r="J56" s="401" t="s">
        <v>344</v>
      </c>
      <c r="K56" s="403" t="s">
        <v>345</v>
      </c>
      <c r="L56" s="401" t="s">
        <v>336</v>
      </c>
      <c r="M56" s="326" t="s">
        <v>213</v>
      </c>
      <c r="N56" s="401" t="s">
        <v>236</v>
      </c>
      <c r="O56" s="326" t="s">
        <v>36</v>
      </c>
      <c r="P56" s="326" t="s">
        <v>36</v>
      </c>
      <c r="Q56" s="326" t="s">
        <v>36</v>
      </c>
      <c r="R56" s="326" t="s">
        <v>36</v>
      </c>
      <c r="S56" s="401" t="s">
        <v>270</v>
      </c>
      <c r="T56" s="401" t="s">
        <v>236</v>
      </c>
      <c r="U56" s="358" t="s">
        <v>36</v>
      </c>
      <c r="V56" s="136" t="s">
        <v>346</v>
      </c>
    </row>
    <row r="57" spans="1:32" ht="34.5" hidden="1" customHeight="1" thickBot="1">
      <c r="A57" s="363" t="s">
        <v>16</v>
      </c>
      <c r="B57" s="364">
        <v>3220</v>
      </c>
      <c r="C57" s="365" t="str">
        <f>'Log frame'!J21</f>
        <v>Provide technical assistance and training to DINEPA and the OREPAs.</v>
      </c>
      <c r="D57" s="366" t="s">
        <v>170</v>
      </c>
      <c r="E57" s="366" t="s">
        <v>347</v>
      </c>
      <c r="F57" s="367" t="s">
        <v>171</v>
      </c>
      <c r="G57" s="368" t="s">
        <v>172</v>
      </c>
      <c r="H57" s="368" t="s">
        <v>209</v>
      </c>
      <c r="I57" s="368" t="str">
        <f t="shared" si="0"/>
        <v>Mattson</v>
      </c>
      <c r="J57" s="366" t="s">
        <v>228</v>
      </c>
      <c r="K57" s="369" t="s">
        <v>211</v>
      </c>
      <c r="L57" s="366" t="s">
        <v>279</v>
      </c>
      <c r="M57" s="366" t="s">
        <v>213</v>
      </c>
      <c r="N57" s="370" t="s">
        <v>268</v>
      </c>
      <c r="O57" s="369" t="s">
        <v>215</v>
      </c>
      <c r="P57" s="371"/>
      <c r="Q57" s="371"/>
      <c r="R57" s="370" t="s">
        <v>223</v>
      </c>
      <c r="S57" s="370" t="s">
        <v>217</v>
      </c>
      <c r="T57" s="370" t="s">
        <v>218</v>
      </c>
      <c r="U57" s="372" t="s">
        <v>215</v>
      </c>
      <c r="V57" s="198" t="s">
        <v>240</v>
      </c>
    </row>
  </sheetData>
  <autoFilter ref="A11:N57" xr:uid="{BE8B9DD6-C48E-49B4-B8BB-6D4871740D80}">
    <filterColumn colId="11">
      <filters>
        <filter val="Commune WASH committee &amp; OREPA Focal Points"/>
        <filter val="Mayors &amp; OREPA focal points"/>
        <filter val="OREPA focal points"/>
      </filters>
    </filterColumn>
  </autoFilter>
  <mergeCells count="19">
    <mergeCell ref="A5:C5"/>
    <mergeCell ref="F5:T5"/>
    <mergeCell ref="A1:C1"/>
    <mergeCell ref="A2:C2"/>
    <mergeCell ref="A3:C3"/>
    <mergeCell ref="A4:C4"/>
    <mergeCell ref="F4:T4"/>
    <mergeCell ref="V10:V11"/>
    <mergeCell ref="A6:C6"/>
    <mergeCell ref="F6:T6"/>
    <mergeCell ref="A7:C7"/>
    <mergeCell ref="F7:T7"/>
    <mergeCell ref="A8:C8"/>
    <mergeCell ref="F8:T8"/>
    <mergeCell ref="A10:C10"/>
    <mergeCell ref="D10:J10"/>
    <mergeCell ref="K10:O10"/>
    <mergeCell ref="P10:Q10"/>
    <mergeCell ref="R10:U10"/>
  </mergeCells>
  <hyperlinks>
    <hyperlink ref="K33" r:id="rId1" location="/forms/d97abfe8b83843dcb03c5b1d72e01f93/preview" xr:uid="{0EF8BAE0-DF87-45D9-8F85-AF67050FEFD7}"/>
    <hyperlink ref="R21" r:id="rId2" location="/forms/530fe4e5a09f42d0a96cef1b855a5241/preview" display="HANWASH household audit" xr:uid="{5E9199EC-90C8-4B05-8E36-09FCB01267AA}"/>
    <hyperlink ref="K40" r:id="rId3" location="/forms/76ba0885e88a4c20b8686aa9204acd30" display="Implementation event tracking form" xr:uid="{A1890AE0-9352-4AC9-BD21-B9A622AB872E}"/>
    <hyperlink ref="K14" r:id="rId4" location="/forms/76ba0885e88a4c20b8686aa9204acd30" xr:uid="{1BD90E5B-AA74-4A9D-A5F9-364A8FD3CB75}"/>
    <hyperlink ref="K16" r:id="rId5" location="/forms/76ba0885e88a4c20b8686aa9204acd30" xr:uid="{C5726850-CF9F-405B-9B9A-625230D38959}"/>
    <hyperlink ref="K19" r:id="rId6" location="/forms/76ba0885e88a4c20b8686aa9204acd30" xr:uid="{287D956D-A2BF-4789-8E19-917121346FB5}"/>
    <hyperlink ref="K21" r:id="rId7" location="/forms/fad15f51bbf44bb0bf9c36f08887c2dd" display="Water point survey (type &amp; functionality) + rapid community assessment (HH count)" xr:uid="{EF450899-A612-450B-A42A-CDA72C7C94AD}"/>
    <hyperlink ref="K23" r:id="rId8" location="/forms/d97abfe8b83843dcb03c5b1d72e01f93/preview" display="SAEP monthly report" xr:uid="{FA522C31-EC9D-45C9-9516-8C3A293850F5}"/>
    <hyperlink ref="K27" r:id="rId9" location="/forms/d97abfe8b83843dcb03c5b1d72e01f93/preview" xr:uid="{37CE7E83-7FD4-4029-BF21-DE83B892368C}"/>
    <hyperlink ref="K43" r:id="rId10" location="/forms/802cd40b8ada491eae959778d70597bf" xr:uid="{282A28C9-C838-432C-ACEE-D0D27B460431}"/>
    <hyperlink ref="K45" r:id="rId11" location="/forms/802cd40b8ada491eae959778d70597bf" xr:uid="{60ABDFE0-9DF2-4D3B-B007-945AB6A01A21}"/>
    <hyperlink ref="K47" r:id="rId12" location="/forms/802cd40b8ada491eae959778d70597bf" xr:uid="{E62E40F4-1F6E-4009-8272-864C2CAA6008}"/>
    <hyperlink ref="K49" r:id="rId13" location="/forms/802cd40b8ada491eae959778d70597bf" xr:uid="{CF14D784-EFC4-40F8-A52D-08F71F85854A}"/>
    <hyperlink ref="K44" r:id="rId14" location="/forms/b823db9a3c794e3bbfb204540990c2c8" xr:uid="{23ED3C62-DC1A-4DF1-B334-D7EEC04732DB}"/>
    <hyperlink ref="K46" r:id="rId15" location="/forms/b823db9a3c794e3bbfb204540990c2c8" xr:uid="{20653AD9-8A41-417D-A690-82F273341519}"/>
    <hyperlink ref="K48" r:id="rId16" location="/forms/b823db9a3c794e3bbfb204540990c2c8" xr:uid="{023ED031-2B3C-4886-9744-B0602CCF302B}"/>
    <hyperlink ref="K50" r:id="rId17" location="/forms/b823db9a3c794e3bbfb204540990c2c8" xr:uid="{DB7381DA-7A35-4201-ABC0-FBBA2D696194}"/>
    <hyperlink ref="K32" r:id="rId18" location="/forms/fad15f51bbf44bb0bf9c36f08887c2dd" display="Water point survey (type &amp; functionality) + rapid community assessment (HH count)" xr:uid="{BCEA6F5C-0143-44C7-AAF2-F8653A69417E}"/>
    <hyperlink ref="K57" r:id="rId19" location="/forms/76ba0885e88a4c20b8686aa9204acd30" xr:uid="{12668848-76F6-4BBA-8D6A-908739D6CC12}"/>
    <hyperlink ref="P17" r:id="rId20" location="/consoles/818a590d510e40728bc1e969aa98c0db?tab=e4139e54-32f5-49d7-872a-9c40004944f3" xr:uid="{E6E9A62B-E5AA-4812-B539-B4A23AF697C6}"/>
    <hyperlink ref="P21" r:id="rId21" location="/forms/fad15f51bbf44bb0bf9c36f08887c2dd" display="Water point survey (type &amp; functionality) + rapid community assessment (HH count)" xr:uid="{26F360EE-C3C6-4258-82FC-4CB5E9F00A67}"/>
    <hyperlink ref="O21" r:id="rId22" location="/consoles/1d080c5b8c154825b446b267319a8288?tab=b96fe26a-1712-43b1-a86b-26e9f7b833b4" xr:uid="{5B1AA22B-6CE8-42D3-B7ED-5B7E2C39297E}"/>
    <hyperlink ref="O17" r:id="rId23" location="/consoles/818a590d510e40728bc1e969aa98c0db?tab=e4139e54-32f5-49d7-872a-9c40004944f3" xr:uid="{44E70C0C-C14A-4D3D-A1F2-C5C0EC3B038A}"/>
    <hyperlink ref="O29" r:id="rId24" location="/consoles/1d080c5b8c154825b446b267319a8288?tab=b96fe26a-1712-43b1-a86b-26e9f7b833b4" xr:uid="{45092F3E-57E2-45ED-AE6C-9438977F986D}"/>
    <hyperlink ref="O30" r:id="rId25" location="/consoles/1d080c5b8c154825b446b267319a8288?tab=b96fe26a-1712-43b1-a86b-26e9f7b833b4" xr:uid="{BA80D9ED-CEEE-4BB9-A53A-4DB92BD666BA}"/>
    <hyperlink ref="O36" r:id="rId26" location="/consoles/1d080c5b8c154825b446b267319a8288?tab=b96fe26a-1712-43b1-a86b-26e9f7b833b4" xr:uid="{8B73CAD7-BDDA-4EFE-8651-F56E28F6A44C}"/>
    <hyperlink ref="O43" r:id="rId27" location="/consoles/1d080c5b8c154825b446b267319a8288?tab=b96fe26a-1712-43b1-a86b-26e9f7b833b4" xr:uid="{87800FAC-C747-44D5-9280-1BBEC7CA6D7D}"/>
    <hyperlink ref="O44" r:id="rId28" location="/consoles/1d080c5b8c154825b446b267319a8288?tab=b96fe26a-1712-43b1-a86b-26e9f7b833b4" xr:uid="{D7C568D6-3BC0-4AE0-9D3D-9CE8EAE9D5E5}"/>
    <hyperlink ref="O14" r:id="rId29" location="/consoles/1d080c5b8c154825b446b267319a8288?tab=b96fe26a-1712-43b1-a86b-26e9f7b833b4" xr:uid="{6D906E8D-7CD6-4E36-974C-18FC3CAED95A}"/>
    <hyperlink ref="O16" r:id="rId30" location="/consoles/1d080c5b8c154825b446b267319a8288?tab=b96fe26a-1712-43b1-a86b-26e9f7b833b4" xr:uid="{BA1155F7-85E9-4860-8128-A4ECAB529BCF}"/>
    <hyperlink ref="O18" r:id="rId31" location="/consoles/818a590d510e40728bc1e969aa98c0db?tab=e4139e54-32f5-49d7-872a-9c40004944f3" xr:uid="{3BBA2BDD-605A-484A-97BD-090D5AA30D49}"/>
    <hyperlink ref="O19" r:id="rId32" location="/consoles/1d080c5b8c154825b446b267319a8288?tab=b96fe26a-1712-43b1-a86b-26e9f7b833b4" xr:uid="{589D1450-E306-4464-AE33-F92793A5A3D0}"/>
    <hyperlink ref="O23" r:id="rId33" location="/consoles/1d080c5b8c154825b446b267319a8288?tab=b96fe26a-1712-43b1-a86b-26e9f7b833b4" xr:uid="{2C502110-F1D5-4FCB-AB47-CC473DD264DF}"/>
    <hyperlink ref="O27" r:id="rId34" location="/consoles/1d080c5b8c154825b446b267319a8288?tab=b96fe26a-1712-43b1-a86b-26e9f7b833b4" xr:uid="{062825AA-141D-4F1E-BC49-09B8ED1AB360}"/>
    <hyperlink ref="O32" r:id="rId35" location="/consoles/1d080c5b8c154825b446b267319a8288?tab=b96fe26a-1712-43b1-a86b-26e9f7b833b4" xr:uid="{F1376481-BB7F-4A9C-938F-C8BA275B2F72}"/>
    <hyperlink ref="O33" r:id="rId36" location="/consoles/1d080c5b8c154825b446b267319a8288?tab=b96fe26a-1712-43b1-a86b-26e9f7b833b4" xr:uid="{18655ED1-9708-42CF-9DC3-570F48F25351}"/>
    <hyperlink ref="O37" r:id="rId37" location="/consoles/1d080c5b8c154825b446b267319a8288?tab=b96fe26a-1712-43b1-a86b-26e9f7b833b4" xr:uid="{FDF4B9D8-D750-4950-B6BD-9F0BD3CDEBE1}"/>
    <hyperlink ref="O40" r:id="rId38" location="/consoles/1d080c5b8c154825b446b267319a8288?tab=b96fe26a-1712-43b1-a86b-26e9f7b833b4" xr:uid="{C934EA80-3AB3-4D43-943D-5EC193F0E63E}"/>
    <hyperlink ref="O42" r:id="rId39" location="/consoles/1d080c5b8c154825b446b267319a8288?tab=b96fe26a-1712-43b1-a86b-26e9f7b833b4" xr:uid="{F744173D-F264-42B1-871E-E16021DB56B1}"/>
    <hyperlink ref="O45" r:id="rId40" location="/consoles/1d080c5b8c154825b446b267319a8288?tab=b96fe26a-1712-43b1-a86b-26e9f7b833b4" xr:uid="{82D8E5FF-8791-4C2E-A82C-2EECB61C41FC}"/>
    <hyperlink ref="O46" r:id="rId41" location="/consoles/1d080c5b8c154825b446b267319a8288?tab=b96fe26a-1712-43b1-a86b-26e9f7b833b4" xr:uid="{05CBDF52-5FDD-4CA3-9F0D-5E924EA551E3}"/>
    <hyperlink ref="O47" r:id="rId42" location="/consoles/1d080c5b8c154825b446b267319a8288?tab=b96fe26a-1712-43b1-a86b-26e9f7b833b4" xr:uid="{522B86C4-4B6C-461C-BDC2-A5A94DA9A58B}"/>
    <hyperlink ref="O48" r:id="rId43" location="/consoles/1d080c5b8c154825b446b267319a8288?tab=b96fe26a-1712-43b1-a86b-26e9f7b833b4" xr:uid="{39F60438-6E39-4491-9CA8-CB8A7C190083}"/>
    <hyperlink ref="O49" r:id="rId44" location="/consoles/1d080c5b8c154825b446b267319a8288?tab=b96fe26a-1712-43b1-a86b-26e9f7b833b4" xr:uid="{8A3B0A72-7F66-4268-B388-A180BB579310}"/>
    <hyperlink ref="O50" r:id="rId45" location="/consoles/1d080c5b8c154825b446b267319a8288?tab=b96fe26a-1712-43b1-a86b-26e9f7b833b4" xr:uid="{3F37DCC9-D5DB-4D09-9E1C-FA47BE231BE0}"/>
    <hyperlink ref="O54" r:id="rId46" location="/consoles/818a590d510e40728bc1e969aa98c0db?tab=e4139e54-32f5-49d7-872a-9c40004944f3" xr:uid="{5E579D1F-58C0-47A8-B0F2-1078A0E6D35A}"/>
    <hyperlink ref="O55" r:id="rId47" location="/consoles/818a590d510e40728bc1e969aa98c0db?tab=e4139e54-32f5-49d7-872a-9c40004944f3" xr:uid="{E6C9FC4C-2856-40DC-BBBE-509ACBC9CF0D}"/>
    <hyperlink ref="O57" r:id="rId48" location="/consoles/1d080c5b8c154825b446b267319a8288?tab=b96fe26a-1712-43b1-a86b-26e9f7b833b4" xr:uid="{1DB92BB8-BA48-427C-A12D-663C93D9892B}"/>
    <hyperlink ref="U17" r:id="rId49" location="/consoles/818a590d510e40728bc1e969aa98c0db?tab=e4139e54-32f5-49d7-872a-9c40004944f3" xr:uid="{BC115987-CBE7-41AC-B76F-F7A806CD36F6}"/>
    <hyperlink ref="U14" r:id="rId50" location="/consoles/1d080c5b8c154825b446b267319a8288?tab=b96fe26a-1712-43b1-a86b-26e9f7b833b4" xr:uid="{FF34832F-517D-4557-9BFA-70E46080F27C}"/>
    <hyperlink ref="U16" r:id="rId51" location="/consoles/1d080c5b8c154825b446b267319a8288?tab=b96fe26a-1712-43b1-a86b-26e9f7b833b4" xr:uid="{C8F413E0-F58E-4F59-8814-88288A79B28E}"/>
    <hyperlink ref="U18" r:id="rId52" location="/consoles/818a590d510e40728bc1e969aa98c0db?tab=e4139e54-32f5-49d7-872a-9c40004944f3" xr:uid="{F882F8A1-3772-4BAB-9F55-B205DC7C95CB}"/>
    <hyperlink ref="R29" r:id="rId53" location="/forms/530fe4e5a09f42d0a96cef1b855a5241/preview" xr:uid="{290F892C-C40A-4586-8484-FAE52FD993D8}"/>
    <hyperlink ref="R30" r:id="rId54" location="/forms/530fe4e5a09f42d0a96cef1b855a5241/preview" xr:uid="{AA73EB40-3BF7-44E5-8EB9-84088FA24D2B}"/>
    <hyperlink ref="R36" r:id="rId55" location="/forms/530fe4e5a09f42d0a96cef1b855a5241/preview" xr:uid="{DD568ED8-6EBA-4608-A257-6840A09AB1BF}"/>
    <hyperlink ref="R43" r:id="rId56" location="/forms/802cd40b8ada491eae959778d70597bf" xr:uid="{44DC6315-C4D1-4B26-BC1A-DAC7FF89734B}"/>
    <hyperlink ref="R44" r:id="rId57" location="/forms/b823db9a3c794e3bbfb204540990c2c8" xr:uid="{9B56E29B-5A38-43B5-B168-766E25560C9E}"/>
    <hyperlink ref="U23" r:id="rId58" location="/consoles/1d080c5b8c154825b446b267319a8288?tab=b96fe26a-1712-43b1-a86b-26e9f7b833b4" xr:uid="{0257963D-F014-4E19-ACB5-F521894ADE08}"/>
    <hyperlink ref="U27" r:id="rId59" location="/consoles/1d080c5b8c154825b446b267319a8288?tab=b96fe26a-1712-43b1-a86b-26e9f7b833b4" xr:uid="{9426D766-C6CF-495F-B3CA-F66D80B1E88E}"/>
    <hyperlink ref="R32" r:id="rId60" location="/forms/530fe4e5a09f42d0a96cef1b855a5241/preview" xr:uid="{64983A11-EB35-4C9D-9E11-046FD15B4F9E}"/>
    <hyperlink ref="R33" r:id="rId61" location="/forms/530fe4e5a09f42d0a96cef1b855a5241/preview" xr:uid="{96E6D691-B915-4E8C-B826-1098886DD940}"/>
    <hyperlink ref="R37" r:id="rId62" location="/forms/530fe4e5a09f42d0a96cef1b855a5241/preview" xr:uid="{F3D8B0E3-3864-4F9A-AF05-D9A35B4868C2}"/>
    <hyperlink ref="U40" r:id="rId63" location="/consoles/1d080c5b8c154825b446b267319a8288?tab=b96fe26a-1712-43b1-a86b-26e9f7b833b4" xr:uid="{52A66AB0-D85F-48E2-AE35-D4A81DADAE5F}"/>
    <hyperlink ref="U42" r:id="rId64" location="/consoles/1d080c5b8c154825b446b267319a8288?tab=b96fe26a-1712-43b1-a86b-26e9f7b833b4" xr:uid="{FFE830D6-DA59-4835-BD35-6EF74E7EC039}"/>
    <hyperlink ref="R45" r:id="rId65" location="/forms/802cd40b8ada491eae959778d70597bf" xr:uid="{E3111842-F253-4E4A-BB9F-0B0971C98694}"/>
    <hyperlink ref="R47" r:id="rId66" location="/forms/802cd40b8ada491eae959778d70597bf" xr:uid="{749A13A6-80A8-46BC-BB79-95EA33A7AEA8}"/>
    <hyperlink ref="R49" r:id="rId67" location="/forms/802cd40b8ada491eae959778d70597bf" xr:uid="{EB21147B-934C-4235-82C5-6252579886DF}"/>
    <hyperlink ref="R46" r:id="rId68" location="/forms/b823db9a3c794e3bbfb204540990c2c8" xr:uid="{5A02D850-C28F-4E55-B1F7-165FBEED0C2E}"/>
    <hyperlink ref="R48" r:id="rId69" location="/forms/b823db9a3c794e3bbfb204540990c2c8" xr:uid="{9203D276-6211-4061-8A87-6388CA82A0B3}"/>
    <hyperlink ref="R50" r:id="rId70" location="/forms/b823db9a3c794e3bbfb204540990c2c8" xr:uid="{BED8D1CE-C981-41F2-9F15-606B19615D2A}"/>
    <hyperlink ref="U52" r:id="rId71" location="/consoles/818a590d510e40728bc1e969aa98c0db?tab=e4139e54-32f5-49d7-872a-9c40004944f3" xr:uid="{FA175274-011A-44AC-9248-3F975FC4BBD1}"/>
    <hyperlink ref="U54" r:id="rId72" location="/consoles/818a590d510e40728bc1e969aa98c0db?tab=e4139e54-32f5-49d7-872a-9c40004944f3" xr:uid="{6AB1F4BD-262B-46D0-AA51-1B2AADFF9AE1}"/>
    <hyperlink ref="U55" r:id="rId73" location="/consoles/818a590d510e40728bc1e969aa98c0db?tab=e4139e54-32f5-49d7-872a-9c40004944f3" xr:uid="{23AFC1ED-8196-4D76-A034-EDC578CF1FA9}"/>
    <hyperlink ref="U57" r:id="rId74" location="/consoles/1d080c5b8c154825b446b267319a8288?tab=b96fe26a-1712-43b1-a86b-26e9f7b833b4" xr:uid="{9D934B95-A91A-4ECD-BFC5-F971384BF052}"/>
    <hyperlink ref="U19" r:id="rId75" location="/consoles/1d080c5b8c154825b446b267319a8288?tab=b96fe26a-1712-43b1-a86b-26e9f7b833b4" xr:uid="{EA315725-B56D-4807-B3AD-6A322EAE50C9}"/>
    <hyperlink ref="A5" r:id="rId76" xr:uid="{26A653E2-D488-44FA-8DA7-7DBF1C18A998}"/>
    <hyperlink ref="O38" r:id="rId77" location="/consoles/1d080c5b8c154825b446b267319a8288?tab=b96fe26a-1712-43b1-a86b-26e9f7b833b4" xr:uid="{E623AAB1-92F8-43A2-BB9A-F794AB20044E}"/>
    <hyperlink ref="R38" r:id="rId78" location="/forms/530fe4e5a09f42d0a96cef1b855a5241/preview" xr:uid="{D0FEDC92-4821-4A9D-9753-0EE7E83276AA}"/>
    <hyperlink ref="K35" r:id="rId79" location="/forms/e045ce2509964909bed52a842b28dffd" display="ODF verification and certification" xr:uid="{A7EFB586-0297-496D-B52F-4B3B274DA942}"/>
    <hyperlink ref="O35" r:id="rId80" location="/consoles/1d080c5b8c154825b446b267319a8288?tab=b96fe26a-1712-43b1-a86b-26e9f7b833b4" xr:uid="{C622927A-EC1C-4B5E-834B-F19C80E0921E}"/>
    <hyperlink ref="R35" r:id="rId81" location="/forms/530fe4e5a09f42d0a96cef1b855a5241/preview" xr:uid="{89AE5170-978E-403B-A9DF-6D4131E2D0D5}"/>
    <hyperlink ref="O34" r:id="rId82" location="/consoles/1d080c5b8c154825b446b267319a8288?tab=b96fe26a-1712-43b1-a86b-26e9f7b833b4" xr:uid="{B176DFBC-C894-49D6-89EA-FDEE2589D160}"/>
    <hyperlink ref="R34" r:id="rId83" location="/forms/530fe4e5a09f42d0a96cef1b855a5241/preview" xr:uid="{AD02E8D6-DDF2-477D-BAD2-BE5808E299CB}"/>
    <hyperlink ref="O39" r:id="rId84" location="/consoles/1d080c5b8c154825b446b267319a8288?tab=b96fe26a-1712-43b1-a86b-26e9f7b833b4" xr:uid="{3AA80F01-C8BE-4D3D-8F44-756AC49E7B57}"/>
    <hyperlink ref="R39" r:id="rId85" location="/forms/530fe4e5a09f42d0a96cef1b855a5241/preview" xr:uid="{9301A69F-CA9A-4BE7-BEF6-13A97A06859C}"/>
    <hyperlink ref="K34" r:id="rId86" location="/forms/2bd65fbd2daf4064ac60694210797595" display="Rapid community assessment" xr:uid="{CD9FAC41-A621-4651-917F-1876FB67D7B2}"/>
    <hyperlink ref="K39" r:id="rId87" location="/forms/530fe4e5a09f42d0a96cef1b855a5241/preview" xr:uid="{8F92F340-FD5A-4BE9-8A52-1FB1D3984300}"/>
    <hyperlink ref="K36" r:id="rId88" location="/forms/530fe4e5a09f42d0a96cef1b855a5241/preview" xr:uid="{AC3E0851-1694-4C15-AA0F-E5828481CB39}"/>
    <hyperlink ref="K30" r:id="rId89" location="/forms/530fe4e5a09f42d0a96cef1b855a5241/preview" xr:uid="{572361D7-4825-4016-BDF0-D59CD4F7651E}"/>
    <hyperlink ref="K29" r:id="rId90" location="/forms/530fe4e5a09f42d0a96cef1b855a5241/preview" xr:uid="{31574117-0D32-4291-8D9C-6F481510C2B7}"/>
    <hyperlink ref="K37" r:id="rId91" location="/forms/530fe4e5a09f42d0a96cef1b855a5241/preview" xr:uid="{8330CE78-534D-42DE-A607-AB00D7B90425}"/>
    <hyperlink ref="K42" r:id="rId92" location="/forms/e045ce2509964909bed52a842b28dffd" display="ODF verification and certification" xr:uid="{DF126CEC-C4B5-4C5A-B00C-D450F09AD9A6}"/>
    <hyperlink ref="O20" r:id="rId93" location="/consoles/1d080c5b8c154825b446b267319a8288?tab=b96fe26a-1712-43b1-a86b-26e9f7b833b4" xr:uid="{88CA399F-360D-4765-8017-54D96B8177F1}"/>
    <hyperlink ref="R20" r:id="rId94" location="/forms/530fe4e5a09f42d0a96cef1b855a5241/preview" display="HANWASH household audit" xr:uid="{1DF42540-3CD6-4508-A822-6B8AC06EF970}"/>
    <hyperlink ref="K31" r:id="rId95" location="/forms/fad15f51bbf44bb0bf9c36f08887c2dd" display="Water point survey (type &amp; functionality) + rapid community assessment (HH count)" xr:uid="{C574E4CA-FCDC-4C2F-BE83-CF7B84060AC7}"/>
    <hyperlink ref="O31" r:id="rId96" location="/consoles/1d080c5b8c154825b446b267319a8288?tab=b96fe26a-1712-43b1-a86b-26e9f7b833b4" xr:uid="{D458395D-A03E-49CB-A1D5-F1BD0BD6C758}"/>
    <hyperlink ref="R31" r:id="rId97" location="/forms/530fe4e5a09f42d0a96cef1b855a5241/preview" display="HANWASH household audit" xr:uid="{92729B73-8C73-414C-AB40-085CD43587A9}"/>
    <hyperlink ref="K56" r:id="rId98" location="/tables/ts109/t6" xr:uid="{7A5A6C43-3D40-497E-A324-D3AFDE216A02}"/>
    <hyperlink ref="O53" r:id="rId99" location="/consoles/818a590d510e40728bc1e969aa98c0db?tab=e4139e54-32f5-49d7-872a-9c40004944f3" xr:uid="{9BAF9FD4-6A77-487F-95D0-56C6FD010AD7}"/>
    <hyperlink ref="O52" r:id="rId100" location="/consoles/818a590d510e40728bc1e969aa98c0db?tab=e4139e54-32f5-49d7-872a-9c40004944f3" xr:uid="{F97C8195-EA76-4C59-ABCB-A476E67D11C7}"/>
    <hyperlink ref="K22" r:id="rId101" location="/forms/fad15f51bbf44bb0bf9c36f08887c2dd" display="Water point survey (type &amp; functionality) + rapid community assessment (HH count)" xr:uid="{593CBD65-261D-4095-88C0-C2B99CBDE287}"/>
    <hyperlink ref="O22" r:id="rId102" location="/consoles/1d080c5b8c154825b446b267319a8288?tab=b96fe26a-1712-43b1-a86b-26e9f7b833b4" xr:uid="{FD1BFBBA-7C2B-40A4-930C-2514DB164C85}"/>
    <hyperlink ref="P22" r:id="rId103" location="/forms/530fe4e5a09f42d0a96cef1b855a5241/preview" display="HANWASH household audit" xr:uid="{5A2F0794-76E1-4232-878E-AD88025FCDBD}"/>
    <hyperlink ref="K15" r:id="rId104" location="/forms/76ba0885e88a4c20b8686aa9204acd30" xr:uid="{DD7FB4C1-4936-440C-AE7E-6407965EAFAD}"/>
    <hyperlink ref="O15" r:id="rId105" location="/consoles/1d080c5b8c154825b446b267319a8288?tab=b96fe26a-1712-43b1-a86b-26e9f7b833b4" xr:uid="{2C08D175-DB30-42CD-825E-C452051F7E31}"/>
    <hyperlink ref="K41" r:id="rId106" location="/forms/76ba0885e88a4c20b8686aa9204acd30" display="Implementation event tracking form" xr:uid="{CCA0AE9A-FBCC-4CF8-8745-DB49D825A39D}"/>
    <hyperlink ref="O41" r:id="rId107" location="/consoles/1d080c5b8c154825b446b267319a8288?tab=b96fe26a-1712-43b1-a86b-26e9f7b833b4" xr:uid="{C47DB76B-A82F-405F-95CD-FDC8C7FF6ACB}"/>
    <hyperlink ref="U41" r:id="rId108" location="/consoles/1d080c5b8c154825b446b267319a8288?tab=b96fe26a-1712-43b1-a86b-26e9f7b833b4" xr:uid="{F658EAA8-7C1F-45C8-96F4-B585490E7883}"/>
    <hyperlink ref="K24" r:id="rId109" location="/forms/d97abfe8b83843dcb03c5b1d72e01f93/preview" display="SAEP monthly report" xr:uid="{60513D79-FA7D-4BB6-9FE0-35DDCC50290D}"/>
    <hyperlink ref="O24" r:id="rId110" location="/consoles/1d080c5b8c154825b446b267319a8288?tab=b96fe26a-1712-43b1-a86b-26e9f7b833b4" xr:uid="{72449F10-F176-4214-9CC5-2BE0EB9AA6E7}"/>
    <hyperlink ref="U24" r:id="rId111" location="/consoles/1d080c5b8c154825b446b267319a8288?tab=b96fe26a-1712-43b1-a86b-26e9f7b833b4" xr:uid="{DC7FC2C6-5072-41E9-B4CB-6273CFB6724F}"/>
  </hyperlinks>
  <pageMargins left="0.7" right="0.7" top="0.75" bottom="0.75" header="0.3" footer="0.3"/>
  <pageSetup fitToWidth="0" orientation="portrait"/>
  <legacyDrawing r:id="rId11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E183C-2075-4AA0-8D20-1E8E4FF34491}">
  <sheetPr filterMode="1">
    <pageSetUpPr fitToPage="1"/>
  </sheetPr>
  <dimension ref="A1:AF57"/>
  <sheetViews>
    <sheetView topLeftCell="F7" zoomScale="88" zoomScaleNormal="88" workbookViewId="0">
      <selection activeCell="J65" sqref="J65"/>
    </sheetView>
  </sheetViews>
  <sheetFormatPr defaultColWidth="11" defaultRowHeight="15.75" customHeight="1"/>
  <cols>
    <col min="1" max="1" width="19.375" style="20" customWidth="1"/>
    <col min="2" max="2" width="7.375" style="7" customWidth="1"/>
    <col min="3" max="3" width="52.125" style="43" customWidth="1"/>
    <col min="4" max="4" width="12.75" style="8" bestFit="1" customWidth="1"/>
    <col min="5" max="5" width="71.125" style="7" customWidth="1"/>
    <col min="6" max="6" width="71.5" style="7" customWidth="1"/>
    <col min="7" max="7" width="17.625" customWidth="1"/>
    <col min="8" max="9" width="11.875" style="7" hidden="1" customWidth="1"/>
    <col min="10" max="10" width="18.625" style="20" customWidth="1"/>
    <col min="11" max="11" width="15" style="20" customWidth="1"/>
    <col min="12" max="12" width="12.25" style="20" customWidth="1"/>
    <col min="13" max="13" width="18.25" style="20" hidden="1" customWidth="1"/>
    <col min="14" max="14" width="18.625" style="20" customWidth="1"/>
    <col min="15" max="15" width="15.5" style="20" hidden="1" customWidth="1"/>
    <col min="16" max="17" width="26.625" hidden="1" customWidth="1"/>
    <col min="18" max="18" width="22.125" style="20" hidden="1" customWidth="1"/>
    <col min="19" max="19" width="21.125" style="20" customWidth="1"/>
    <col min="20" max="20" width="18.125" style="20" customWidth="1"/>
    <col min="21" max="21" width="20" style="20" hidden="1" customWidth="1"/>
    <col min="22" max="22" width="87" style="20" hidden="1" customWidth="1"/>
  </cols>
  <sheetData>
    <row r="1" spans="1:22" ht="15.6">
      <c r="A1" s="456" t="s">
        <v>173</v>
      </c>
      <c r="B1" s="456"/>
      <c r="C1" s="456"/>
      <c r="E1" s="74" t="s">
        <v>174</v>
      </c>
      <c r="F1" s="75"/>
      <c r="G1" s="75"/>
      <c r="H1" s="75"/>
      <c r="I1" s="75"/>
      <c r="J1" s="80"/>
      <c r="K1" s="80"/>
      <c r="L1" s="80"/>
      <c r="M1" s="80"/>
      <c r="N1" s="80"/>
      <c r="O1" s="80"/>
      <c r="P1" s="81"/>
      <c r="Q1" s="81"/>
      <c r="R1" s="80"/>
    </row>
    <row r="2" spans="1:22" ht="15.6">
      <c r="A2" s="457" t="s">
        <v>175</v>
      </c>
      <c r="B2" s="457"/>
      <c r="C2" s="457"/>
      <c r="E2" s="94" t="s">
        <v>176</v>
      </c>
      <c r="F2" s="77" t="str">
        <f>"'-' Not applicable"</f>
        <v>'-' Not applicable</v>
      </c>
    </row>
    <row r="3" spans="1:22" ht="15.95" thickBot="1">
      <c r="A3" s="456" t="s">
        <v>177</v>
      </c>
      <c r="B3" s="456"/>
      <c r="C3" s="456"/>
      <c r="E3" s="72"/>
      <c r="F3" s="73"/>
      <c r="G3" s="78"/>
      <c r="H3" s="73"/>
      <c r="I3" s="73"/>
      <c r="J3" s="79"/>
      <c r="K3" s="79"/>
      <c r="L3" s="79"/>
      <c r="M3" s="79"/>
      <c r="N3" s="79"/>
      <c r="O3" s="79"/>
      <c r="P3" s="78"/>
      <c r="Q3" s="78"/>
      <c r="R3" s="79"/>
      <c r="S3" s="79"/>
      <c r="T3" s="79"/>
    </row>
    <row r="4" spans="1:22" ht="15.6">
      <c r="A4" s="445" t="s">
        <v>178</v>
      </c>
      <c r="B4" s="445"/>
      <c r="C4" s="445"/>
      <c r="E4" s="76" t="s">
        <v>179</v>
      </c>
      <c r="F4" s="456" t="s">
        <v>9</v>
      </c>
      <c r="G4" s="456"/>
      <c r="H4" s="456"/>
      <c r="I4" s="456"/>
      <c r="J4" s="456"/>
      <c r="K4" s="458"/>
      <c r="L4" s="458"/>
      <c r="M4" s="458"/>
      <c r="N4" s="456"/>
      <c r="O4" s="458"/>
      <c r="P4" s="456"/>
      <c r="Q4" s="456"/>
      <c r="R4" s="458"/>
      <c r="S4" s="458"/>
      <c r="T4" s="458"/>
    </row>
    <row r="5" spans="1:22" ht="15.6">
      <c r="A5" s="455" t="s">
        <v>180</v>
      </c>
      <c r="B5" s="455"/>
      <c r="C5" s="455"/>
      <c r="E5" s="387" t="s">
        <v>10</v>
      </c>
      <c r="F5" s="445" t="s">
        <v>181</v>
      </c>
      <c r="G5" s="445"/>
      <c r="H5" s="445"/>
      <c r="I5" s="445"/>
      <c r="J5" s="445"/>
      <c r="K5" s="445"/>
      <c r="L5" s="445"/>
      <c r="M5" s="445"/>
      <c r="N5" s="445"/>
      <c r="O5" s="445"/>
      <c r="P5" s="445"/>
      <c r="Q5" s="445"/>
      <c r="R5" s="445"/>
      <c r="S5" s="445"/>
      <c r="T5" s="445"/>
    </row>
    <row r="6" spans="1:22" ht="15.6">
      <c r="A6" s="444" t="s">
        <v>182</v>
      </c>
      <c r="B6" s="445"/>
      <c r="C6" s="445"/>
      <c r="E6" s="388" t="s">
        <v>37</v>
      </c>
      <c r="F6" s="445" t="s">
        <v>183</v>
      </c>
      <c r="G6" s="445"/>
      <c r="H6" s="445"/>
      <c r="I6" s="445"/>
      <c r="J6" s="445"/>
      <c r="K6" s="446"/>
      <c r="L6" s="446"/>
      <c r="M6" s="446"/>
      <c r="N6" s="445"/>
      <c r="O6" s="446"/>
      <c r="P6" s="445"/>
      <c r="Q6" s="445"/>
      <c r="R6" s="446"/>
      <c r="S6" s="446"/>
      <c r="T6" s="446"/>
    </row>
    <row r="7" spans="1:22" ht="15.6">
      <c r="A7" s="444" t="s">
        <v>184</v>
      </c>
      <c r="B7" s="445"/>
      <c r="C7" s="445"/>
      <c r="E7" s="389" t="s">
        <v>40</v>
      </c>
      <c r="F7" s="445" t="s">
        <v>185</v>
      </c>
      <c r="G7" s="445"/>
      <c r="H7" s="445"/>
      <c r="I7" s="445"/>
      <c r="J7" s="445"/>
      <c r="K7" s="446"/>
      <c r="L7" s="446"/>
      <c r="M7" s="446"/>
      <c r="N7" s="445"/>
      <c r="O7" s="446"/>
      <c r="P7" s="445"/>
      <c r="Q7" s="445"/>
      <c r="R7" s="446"/>
      <c r="S7" s="446"/>
      <c r="T7" s="446"/>
    </row>
    <row r="8" spans="1:22" ht="38.25" customHeight="1">
      <c r="A8" s="447" t="s">
        <v>186</v>
      </c>
      <c r="B8" s="447"/>
      <c r="C8" s="447"/>
      <c r="E8" s="4" t="s">
        <v>187</v>
      </c>
      <c r="F8" s="448" t="s">
        <v>188</v>
      </c>
      <c r="G8" s="448"/>
      <c r="H8" s="448"/>
      <c r="I8" s="448"/>
      <c r="J8" s="448"/>
      <c r="K8" s="449"/>
      <c r="L8" s="449"/>
      <c r="M8" s="449"/>
      <c r="N8" s="448"/>
      <c r="O8" s="449"/>
      <c r="P8" s="448"/>
      <c r="Q8" s="448"/>
      <c r="R8" s="449"/>
      <c r="S8" s="449"/>
      <c r="T8" s="449"/>
    </row>
    <row r="9" spans="1:22" ht="15.75" customHeight="1" thickBot="1"/>
    <row r="10" spans="1:22" ht="15.95" customHeight="1">
      <c r="A10" s="450" t="s">
        <v>189</v>
      </c>
      <c r="B10" s="451"/>
      <c r="C10" s="451"/>
      <c r="D10" s="452" t="s">
        <v>28</v>
      </c>
      <c r="E10" s="452"/>
      <c r="F10" s="452"/>
      <c r="G10" s="452"/>
      <c r="H10" s="452"/>
      <c r="I10" s="452"/>
      <c r="J10" s="452"/>
      <c r="K10" s="452" t="s">
        <v>190</v>
      </c>
      <c r="L10" s="452"/>
      <c r="M10" s="452"/>
      <c r="N10" s="453"/>
      <c r="O10" s="452"/>
      <c r="P10" s="453" t="s">
        <v>191</v>
      </c>
      <c r="Q10" s="453"/>
      <c r="R10" s="452" t="s">
        <v>192</v>
      </c>
      <c r="S10" s="452"/>
      <c r="T10" s="452"/>
      <c r="U10" s="454"/>
      <c r="V10" s="442" t="s">
        <v>193</v>
      </c>
    </row>
    <row r="11" spans="1:22" ht="15.6">
      <c r="A11" s="355" t="s">
        <v>8</v>
      </c>
      <c r="B11" s="337" t="s">
        <v>194</v>
      </c>
      <c r="C11" s="337" t="s">
        <v>9</v>
      </c>
      <c r="D11" s="324" t="s">
        <v>195</v>
      </c>
      <c r="E11" s="338" t="s">
        <v>9</v>
      </c>
      <c r="F11" s="338" t="s">
        <v>29</v>
      </c>
      <c r="G11" s="324" t="s">
        <v>30</v>
      </c>
      <c r="H11" s="338" t="s">
        <v>196</v>
      </c>
      <c r="I11" s="338" t="s">
        <v>197</v>
      </c>
      <c r="J11" s="338" t="s">
        <v>198</v>
      </c>
      <c r="K11" s="324" t="s">
        <v>199</v>
      </c>
      <c r="L11" s="324" t="s">
        <v>200</v>
      </c>
      <c r="M11" s="324" t="s">
        <v>201</v>
      </c>
      <c r="N11" s="324" t="s">
        <v>202</v>
      </c>
      <c r="O11" s="324" t="s">
        <v>203</v>
      </c>
      <c r="P11" s="325" t="s">
        <v>204</v>
      </c>
      <c r="Q11" s="325" t="s">
        <v>190</v>
      </c>
      <c r="R11" s="324" t="s">
        <v>199</v>
      </c>
      <c r="S11" s="324" t="s">
        <v>205</v>
      </c>
      <c r="T11" s="324" t="s">
        <v>206</v>
      </c>
      <c r="U11" s="356" t="s">
        <v>203</v>
      </c>
      <c r="V11" s="443"/>
    </row>
    <row r="12" spans="1:22" ht="34.5" hidden="1" customHeight="1">
      <c r="A12" s="390" t="s">
        <v>10</v>
      </c>
      <c r="B12" s="391">
        <v>1</v>
      </c>
      <c r="C12" s="392" t="str">
        <f>'Log frame'!B13</f>
        <v>Increased access to safe, sustainable and affordable water, sanitation and hygiene (WASH) services in Haiti​.</v>
      </c>
      <c r="D12" s="392" t="s">
        <v>36</v>
      </c>
      <c r="E12" s="392" t="s">
        <v>36</v>
      </c>
      <c r="F12" s="392" t="s">
        <v>36</v>
      </c>
      <c r="G12" s="392" t="s">
        <v>36</v>
      </c>
      <c r="H12" s="326" t="s">
        <v>36</v>
      </c>
      <c r="I12" s="326" t="str">
        <f>"Mattson"</f>
        <v>Mattson</v>
      </c>
      <c r="J12" s="392" t="s">
        <v>36</v>
      </c>
      <c r="K12" s="392" t="s">
        <v>36</v>
      </c>
      <c r="L12" s="392" t="s">
        <v>36</v>
      </c>
      <c r="M12" s="326"/>
      <c r="N12" s="392" t="s">
        <v>36</v>
      </c>
      <c r="O12" s="326" t="s">
        <v>36</v>
      </c>
      <c r="P12" s="326" t="s">
        <v>36</v>
      </c>
      <c r="Q12" s="326" t="s">
        <v>36</v>
      </c>
      <c r="R12" s="326" t="s">
        <v>36</v>
      </c>
      <c r="S12" s="392" t="s">
        <v>36</v>
      </c>
      <c r="T12" s="392" t="s">
        <v>36</v>
      </c>
      <c r="U12" s="358" t="s">
        <v>36</v>
      </c>
      <c r="V12" s="136" t="s">
        <v>207</v>
      </c>
    </row>
    <row r="13" spans="1:22" ht="34.5" hidden="1" customHeight="1">
      <c r="A13" s="393" t="s">
        <v>37</v>
      </c>
      <c r="B13" s="394">
        <v>1000</v>
      </c>
      <c r="C13" s="395" t="str">
        <f>'Log frame'!B15</f>
        <v>Strengthened demand for and management of WASH services in communes.</v>
      </c>
      <c r="D13" s="395" t="s">
        <v>36</v>
      </c>
      <c r="E13" s="395" t="s">
        <v>36</v>
      </c>
      <c r="F13" s="395" t="s">
        <v>36</v>
      </c>
      <c r="G13" s="395" t="s">
        <v>36</v>
      </c>
      <c r="H13" s="326" t="s">
        <v>36</v>
      </c>
      <c r="I13" s="326" t="str">
        <f t="shared" ref="I13:I57" si="0">"Mattson"</f>
        <v>Mattson</v>
      </c>
      <c r="J13" s="395" t="s">
        <v>36</v>
      </c>
      <c r="K13" s="395" t="s">
        <v>36</v>
      </c>
      <c r="L13" s="395" t="s">
        <v>36</v>
      </c>
      <c r="M13" s="326"/>
      <c r="N13" s="395" t="s">
        <v>36</v>
      </c>
      <c r="O13" s="326" t="s">
        <v>36</v>
      </c>
      <c r="P13" s="326" t="s">
        <v>36</v>
      </c>
      <c r="Q13" s="326" t="s">
        <v>36</v>
      </c>
      <c r="R13" s="326" t="s">
        <v>36</v>
      </c>
      <c r="S13" s="395" t="s">
        <v>36</v>
      </c>
      <c r="T13" s="395" t="s">
        <v>36</v>
      </c>
      <c r="U13" s="358" t="s">
        <v>36</v>
      </c>
      <c r="V13" s="136" t="s">
        <v>207</v>
      </c>
    </row>
    <row r="14" spans="1:22" ht="34.5" hidden="1" customHeight="1">
      <c r="A14" s="399" t="s">
        <v>40</v>
      </c>
      <c r="B14" s="400">
        <v>1100</v>
      </c>
      <c r="C14" s="401" t="str">
        <f>'Log frame'!B17</f>
        <v>Increased civil society engagement in decision making and implementation of WASH services.</v>
      </c>
      <c r="D14" s="402" t="s">
        <v>39</v>
      </c>
      <c r="E14" s="401" t="s">
        <v>208</v>
      </c>
      <c r="F14" s="401" t="s">
        <v>42</v>
      </c>
      <c r="G14" s="401" t="s">
        <v>43</v>
      </c>
      <c r="H14" s="326" t="s">
        <v>209</v>
      </c>
      <c r="I14" s="326" t="str">
        <f t="shared" si="0"/>
        <v>Mattson</v>
      </c>
      <c r="J14" s="401" t="s">
        <v>210</v>
      </c>
      <c r="K14" s="403" t="s">
        <v>211</v>
      </c>
      <c r="L14" s="404" t="s">
        <v>212</v>
      </c>
      <c r="M14" s="341" t="s">
        <v>213</v>
      </c>
      <c r="N14" s="405" t="s">
        <v>214</v>
      </c>
      <c r="O14" s="333" t="s">
        <v>215</v>
      </c>
      <c r="P14" s="294"/>
      <c r="Q14" s="294"/>
      <c r="R14" s="341" t="s">
        <v>216</v>
      </c>
      <c r="S14" s="404" t="s">
        <v>217</v>
      </c>
      <c r="T14" s="404" t="s">
        <v>218</v>
      </c>
      <c r="U14" s="359" t="s">
        <v>215</v>
      </c>
      <c r="V14" s="334" t="s">
        <v>219</v>
      </c>
    </row>
    <row r="15" spans="1:22" ht="34.5" hidden="1" customHeight="1">
      <c r="A15" s="399" t="s">
        <v>40</v>
      </c>
      <c r="B15" s="400">
        <v>1100</v>
      </c>
      <c r="C15" s="401" t="s">
        <v>41</v>
      </c>
      <c r="D15" s="402" t="s">
        <v>44</v>
      </c>
      <c r="E15" s="401" t="s">
        <v>220</v>
      </c>
      <c r="F15" s="401" t="s">
        <v>45</v>
      </c>
      <c r="G15" s="401" t="s">
        <v>46</v>
      </c>
      <c r="H15" s="326" t="s">
        <v>221</v>
      </c>
      <c r="I15" s="326" t="s">
        <v>222</v>
      </c>
      <c r="J15" s="401" t="s">
        <v>210</v>
      </c>
      <c r="K15" s="403" t="s">
        <v>211</v>
      </c>
      <c r="L15" s="404" t="s">
        <v>212</v>
      </c>
      <c r="M15" s="341" t="s">
        <v>213</v>
      </c>
      <c r="N15" s="405" t="s">
        <v>214</v>
      </c>
      <c r="O15" s="333" t="s">
        <v>215</v>
      </c>
      <c r="P15" s="341" t="s">
        <v>223</v>
      </c>
      <c r="Q15" s="341" t="s">
        <v>217</v>
      </c>
      <c r="R15" s="341" t="s">
        <v>224</v>
      </c>
      <c r="S15" s="404" t="s">
        <v>217</v>
      </c>
      <c r="T15" s="404" t="s">
        <v>218</v>
      </c>
      <c r="U15" s="360" t="s">
        <v>215</v>
      </c>
      <c r="V15" s="335"/>
    </row>
    <row r="16" spans="1:22" ht="48.6" hidden="1" customHeight="1">
      <c r="A16" s="357" t="s">
        <v>16</v>
      </c>
      <c r="B16" s="339">
        <v>1110</v>
      </c>
      <c r="C16" s="342" t="s">
        <v>48</v>
      </c>
      <c r="D16" s="340" t="s">
        <v>47</v>
      </c>
      <c r="E16" s="326" t="s">
        <v>225</v>
      </c>
      <c r="F16" s="326" t="s">
        <v>49</v>
      </c>
      <c r="G16" s="330" t="s">
        <v>50</v>
      </c>
      <c r="H16" s="326" t="s">
        <v>209</v>
      </c>
      <c r="I16" s="326" t="str">
        <f t="shared" si="0"/>
        <v>Mattson</v>
      </c>
      <c r="J16" s="326" t="s">
        <v>210</v>
      </c>
      <c r="K16" s="333" t="s">
        <v>211</v>
      </c>
      <c r="L16" s="343" t="s">
        <v>212</v>
      </c>
      <c r="M16" s="343" t="s">
        <v>213</v>
      </c>
      <c r="N16" s="330" t="s">
        <v>214</v>
      </c>
      <c r="O16" s="333" t="s">
        <v>215</v>
      </c>
      <c r="P16" s="294"/>
      <c r="Q16" s="294"/>
      <c r="R16" s="329" t="s">
        <v>223</v>
      </c>
      <c r="S16" s="341" t="s">
        <v>217</v>
      </c>
      <c r="T16" s="341" t="s">
        <v>218</v>
      </c>
      <c r="U16" s="359" t="s">
        <v>215</v>
      </c>
      <c r="V16" s="336" t="s">
        <v>219</v>
      </c>
    </row>
    <row r="17" spans="1:22" ht="34.5" hidden="1" customHeight="1">
      <c r="A17" s="399" t="s">
        <v>40</v>
      </c>
      <c r="B17" s="401">
        <v>1200</v>
      </c>
      <c r="C17" s="402" t="str">
        <f>'Log frame'!C17</f>
        <v>Improved commune WASH planning and coordination by local authorities.​</v>
      </c>
      <c r="D17" s="402" t="s">
        <v>51</v>
      </c>
      <c r="E17" s="401" t="s">
        <v>226</v>
      </c>
      <c r="F17" s="401" t="s">
        <v>53</v>
      </c>
      <c r="G17" s="401" t="s">
        <v>54</v>
      </c>
      <c r="H17" s="339" t="s">
        <v>227</v>
      </c>
      <c r="I17" s="339" t="str">
        <f t="shared" si="0"/>
        <v>Mattson</v>
      </c>
      <c r="J17" s="401" t="s">
        <v>228</v>
      </c>
      <c r="K17" s="403" t="s">
        <v>229</v>
      </c>
      <c r="L17" s="405" t="s">
        <v>230</v>
      </c>
      <c r="M17" s="330" t="s">
        <v>213</v>
      </c>
      <c r="N17" s="401" t="s">
        <v>218</v>
      </c>
      <c r="O17" s="333" t="s">
        <v>231</v>
      </c>
      <c r="P17" s="344" t="s">
        <v>232</v>
      </c>
      <c r="Q17" s="294" t="s">
        <v>233</v>
      </c>
      <c r="R17" s="294" t="s">
        <v>223</v>
      </c>
      <c r="S17" s="404" t="s">
        <v>217</v>
      </c>
      <c r="T17" s="404" t="s">
        <v>218</v>
      </c>
      <c r="U17" s="359" t="s">
        <v>231</v>
      </c>
      <c r="V17" s="320" t="s">
        <v>234</v>
      </c>
    </row>
    <row r="18" spans="1:22" ht="34.5" hidden="1" customHeight="1">
      <c r="A18" s="357" t="s">
        <v>16</v>
      </c>
      <c r="B18" s="339">
        <v>1210</v>
      </c>
      <c r="C18" s="345" t="str">
        <f>'Log frame'!C19</f>
        <v>Create or improve commune action plans that focus on water, sanitation and hygiene, and water resource management.​</v>
      </c>
      <c r="D18" s="340" t="s">
        <v>55</v>
      </c>
      <c r="E18" s="346" t="s">
        <v>235</v>
      </c>
      <c r="F18" s="326" t="s">
        <v>57</v>
      </c>
      <c r="G18" s="330" t="s">
        <v>58</v>
      </c>
      <c r="H18" s="339" t="s">
        <v>227</v>
      </c>
      <c r="I18" s="339" t="str">
        <f t="shared" si="0"/>
        <v>Mattson</v>
      </c>
      <c r="J18" s="326" t="s">
        <v>228</v>
      </c>
      <c r="K18" s="347" t="s">
        <v>229</v>
      </c>
      <c r="L18" s="330" t="s">
        <v>230</v>
      </c>
      <c r="M18" s="330" t="s">
        <v>213</v>
      </c>
      <c r="N18" s="326" t="s">
        <v>236</v>
      </c>
      <c r="O18" s="333" t="s">
        <v>231</v>
      </c>
      <c r="P18" s="294"/>
      <c r="Q18" s="294"/>
      <c r="R18" s="329" t="s">
        <v>223</v>
      </c>
      <c r="S18" s="341" t="s">
        <v>217</v>
      </c>
      <c r="T18" s="341" t="s">
        <v>236</v>
      </c>
      <c r="U18" s="359" t="s">
        <v>231</v>
      </c>
      <c r="V18" s="198" t="s">
        <v>237</v>
      </c>
    </row>
    <row r="19" spans="1:22" ht="34.5" hidden="1" customHeight="1">
      <c r="A19" s="357" t="s">
        <v>16</v>
      </c>
      <c r="B19" s="339">
        <v>1220</v>
      </c>
      <c r="C19" s="326" t="str">
        <f>'Log frame'!C21</f>
        <v>Facilitate coordination meetings between commune WASH stakeholders.</v>
      </c>
      <c r="D19" s="340" t="s">
        <v>59</v>
      </c>
      <c r="E19" s="326" t="s">
        <v>238</v>
      </c>
      <c r="F19" s="326" t="s">
        <v>61</v>
      </c>
      <c r="G19" s="330" t="s">
        <v>62</v>
      </c>
      <c r="H19" s="348" t="s">
        <v>209</v>
      </c>
      <c r="I19" s="348" t="str">
        <f t="shared" si="0"/>
        <v>Mattson</v>
      </c>
      <c r="J19" s="326" t="s">
        <v>210</v>
      </c>
      <c r="K19" s="333" t="s">
        <v>211</v>
      </c>
      <c r="L19" s="330" t="s">
        <v>239</v>
      </c>
      <c r="M19" s="330" t="s">
        <v>213</v>
      </c>
      <c r="N19" s="330" t="s">
        <v>214</v>
      </c>
      <c r="O19" s="333" t="s">
        <v>215</v>
      </c>
      <c r="P19" s="349"/>
      <c r="Q19" s="349"/>
      <c r="R19" s="329" t="s">
        <v>223</v>
      </c>
      <c r="S19" s="341" t="s">
        <v>217</v>
      </c>
      <c r="T19" s="341" t="s">
        <v>218</v>
      </c>
      <c r="U19" s="359" t="s">
        <v>215</v>
      </c>
      <c r="V19" s="198" t="s">
        <v>240</v>
      </c>
    </row>
    <row r="20" spans="1:22" ht="34.5" hidden="1" customHeight="1">
      <c r="A20" s="399" t="s">
        <v>40</v>
      </c>
      <c r="B20" s="405">
        <v>1300</v>
      </c>
      <c r="C20" s="405" t="str">
        <f>'Log frame'!D17</f>
        <v>Improved accountability of service providers to users of WASH services.​</v>
      </c>
      <c r="D20" s="402" t="s">
        <v>63</v>
      </c>
      <c r="E20" s="405" t="s">
        <v>241</v>
      </c>
      <c r="F20" s="401" t="s">
        <v>65</v>
      </c>
      <c r="G20" s="405" t="s">
        <v>66</v>
      </c>
      <c r="H20" s="330" t="s">
        <v>227</v>
      </c>
      <c r="I20" s="330" t="s">
        <v>222</v>
      </c>
      <c r="J20" s="405" t="s">
        <v>242</v>
      </c>
      <c r="K20" s="406" t="s">
        <v>243</v>
      </c>
      <c r="L20" s="405" t="s">
        <v>244</v>
      </c>
      <c r="M20" s="330" t="s">
        <v>213</v>
      </c>
      <c r="N20" s="407" t="s">
        <v>214</v>
      </c>
      <c r="O20" s="350" t="s">
        <v>215</v>
      </c>
      <c r="P20" s="330"/>
      <c r="Q20" s="330"/>
      <c r="R20" s="350" t="s">
        <v>245</v>
      </c>
      <c r="S20" s="405" t="s">
        <v>246</v>
      </c>
      <c r="T20" s="405" t="s">
        <v>218</v>
      </c>
      <c r="U20" s="361" t="s">
        <v>247</v>
      </c>
      <c r="V20" s="328" t="s">
        <v>248</v>
      </c>
    </row>
    <row r="21" spans="1:22" ht="34.5" hidden="1" customHeight="1">
      <c r="A21" s="399" t="s">
        <v>40</v>
      </c>
      <c r="B21" s="405">
        <v>1300</v>
      </c>
      <c r="C21" s="405" t="str">
        <f>'Log frame'!D17</f>
        <v>Improved accountability of service providers to users of WASH services.​</v>
      </c>
      <c r="D21" s="402" t="s">
        <v>67</v>
      </c>
      <c r="E21" s="405" t="s">
        <v>249</v>
      </c>
      <c r="F21" s="402" t="s">
        <v>68</v>
      </c>
      <c r="G21" s="405" t="s">
        <v>69</v>
      </c>
      <c r="H21" s="330" t="s">
        <v>227</v>
      </c>
      <c r="I21" s="330" t="str">
        <f t="shared" si="0"/>
        <v>Mattson</v>
      </c>
      <c r="J21" s="405" t="s">
        <v>250</v>
      </c>
      <c r="K21" s="406" t="s">
        <v>251</v>
      </c>
      <c r="L21" s="405" t="s">
        <v>252</v>
      </c>
      <c r="M21" s="330" t="s">
        <v>213</v>
      </c>
      <c r="N21" s="405" t="s">
        <v>236</v>
      </c>
      <c r="O21" s="350" t="s">
        <v>215</v>
      </c>
      <c r="P21" s="330" t="s">
        <v>253</v>
      </c>
      <c r="Q21" s="330"/>
      <c r="R21" s="350" t="s">
        <v>245</v>
      </c>
      <c r="S21" s="405" t="s">
        <v>246</v>
      </c>
      <c r="T21" s="405" t="s">
        <v>236</v>
      </c>
      <c r="U21" s="361" t="s">
        <v>247</v>
      </c>
      <c r="V21" s="332" t="s">
        <v>248</v>
      </c>
    </row>
    <row r="22" spans="1:22" ht="34.5" hidden="1" customHeight="1">
      <c r="A22" s="399" t="s">
        <v>40</v>
      </c>
      <c r="B22" s="405">
        <v>1300</v>
      </c>
      <c r="C22" s="405" t="s">
        <v>64</v>
      </c>
      <c r="D22" s="402" t="s">
        <v>70</v>
      </c>
      <c r="E22" s="405" t="s">
        <v>254</v>
      </c>
      <c r="F22" s="405" t="s">
        <v>71</v>
      </c>
      <c r="G22" s="405" t="s">
        <v>72</v>
      </c>
      <c r="H22" s="330" t="s">
        <v>221</v>
      </c>
      <c r="I22" s="330" t="s">
        <v>222</v>
      </c>
      <c r="J22" s="405" t="s">
        <v>255</v>
      </c>
      <c r="K22" s="406" t="s">
        <v>256</v>
      </c>
      <c r="L22" s="405" t="s">
        <v>257</v>
      </c>
      <c r="M22" s="330" t="s">
        <v>258</v>
      </c>
      <c r="N22" s="405" t="s">
        <v>236</v>
      </c>
      <c r="O22" s="350" t="s">
        <v>215</v>
      </c>
      <c r="P22" s="350" t="s">
        <v>245</v>
      </c>
      <c r="Q22" s="330" t="s">
        <v>259</v>
      </c>
      <c r="R22" s="330" t="s">
        <v>260</v>
      </c>
      <c r="S22" s="405" t="s">
        <v>246</v>
      </c>
      <c r="T22" s="405" t="s">
        <v>236</v>
      </c>
      <c r="U22" s="360" t="s">
        <v>215</v>
      </c>
      <c r="V22" s="335"/>
    </row>
    <row r="23" spans="1:22" ht="34.5" hidden="1" customHeight="1">
      <c r="A23" s="357" t="s">
        <v>16</v>
      </c>
      <c r="B23" s="339">
        <v>1310</v>
      </c>
      <c r="C23" s="351" t="str">
        <f>'Log frame'!D19</f>
        <v>Monitor WASH service performance and satisfaction.</v>
      </c>
      <c r="D23" s="340" t="s">
        <v>73</v>
      </c>
      <c r="E23" s="326" t="s">
        <v>261</v>
      </c>
      <c r="F23" s="340" t="s">
        <v>75</v>
      </c>
      <c r="G23" s="352" t="s">
        <v>76</v>
      </c>
      <c r="H23" s="348" t="s">
        <v>221</v>
      </c>
      <c r="I23" s="348" t="str">
        <f t="shared" si="0"/>
        <v>Mattson</v>
      </c>
      <c r="J23" s="326" t="s">
        <v>262</v>
      </c>
      <c r="K23" s="333" t="s">
        <v>263</v>
      </c>
      <c r="L23" s="330" t="s">
        <v>264</v>
      </c>
      <c r="M23" s="330" t="s">
        <v>213</v>
      </c>
      <c r="N23" s="330" t="s">
        <v>214</v>
      </c>
      <c r="O23" s="333" t="s">
        <v>215</v>
      </c>
      <c r="P23" s="294"/>
      <c r="Q23" s="294"/>
      <c r="R23" s="329" t="s">
        <v>223</v>
      </c>
      <c r="S23" s="341" t="s">
        <v>246</v>
      </c>
      <c r="T23" s="341" t="s">
        <v>218</v>
      </c>
      <c r="U23" s="359" t="s">
        <v>215</v>
      </c>
      <c r="V23" s="327" t="s">
        <v>240</v>
      </c>
    </row>
    <row r="24" spans="1:22" ht="34.5" hidden="1" customHeight="1">
      <c r="A24" s="357" t="s">
        <v>16</v>
      </c>
      <c r="B24" s="339">
        <v>1310</v>
      </c>
      <c r="C24" s="351" t="str">
        <f>C23</f>
        <v>Monitor WASH service performance and satisfaction.</v>
      </c>
      <c r="D24" s="340" t="s">
        <v>77</v>
      </c>
      <c r="E24" s="326" t="s">
        <v>265</v>
      </c>
      <c r="F24" s="340" t="s">
        <v>78</v>
      </c>
      <c r="G24" s="352" t="s">
        <v>76</v>
      </c>
      <c r="H24" s="348" t="s">
        <v>221</v>
      </c>
      <c r="I24" s="348" t="str">
        <f t="shared" si="0"/>
        <v>Mattson</v>
      </c>
      <c r="J24" s="326" t="s">
        <v>262</v>
      </c>
      <c r="K24" s="333" t="s">
        <v>263</v>
      </c>
      <c r="L24" s="330" t="s">
        <v>264</v>
      </c>
      <c r="M24" s="330" t="s">
        <v>213</v>
      </c>
      <c r="N24" s="330" t="s">
        <v>214</v>
      </c>
      <c r="O24" s="333" t="s">
        <v>215</v>
      </c>
      <c r="P24" s="294"/>
      <c r="Q24" s="294"/>
      <c r="R24" s="329" t="s">
        <v>223</v>
      </c>
      <c r="S24" s="341" t="s">
        <v>246</v>
      </c>
      <c r="T24" s="341" t="s">
        <v>218</v>
      </c>
      <c r="U24" s="359" t="s">
        <v>215</v>
      </c>
      <c r="V24" s="327" t="s">
        <v>240</v>
      </c>
    </row>
    <row r="25" spans="1:22" ht="46.5" hidden="1">
      <c r="A25" s="357" t="s">
        <v>16</v>
      </c>
      <c r="B25" s="339">
        <v>1310</v>
      </c>
      <c r="C25" s="351" t="str">
        <f>C24</f>
        <v>Monitor WASH service performance and satisfaction.</v>
      </c>
      <c r="D25" s="340" t="s">
        <v>79</v>
      </c>
      <c r="E25" s="326" t="s">
        <v>266</v>
      </c>
      <c r="F25" s="340" t="s">
        <v>80</v>
      </c>
      <c r="G25" s="330" t="s">
        <v>81</v>
      </c>
      <c r="H25" s="348"/>
      <c r="I25" s="348"/>
      <c r="J25" s="326"/>
      <c r="K25" s="333" t="s">
        <v>267</v>
      </c>
      <c r="L25" s="330" t="s">
        <v>244</v>
      </c>
      <c r="M25" s="330"/>
      <c r="N25" s="330" t="s">
        <v>268</v>
      </c>
      <c r="O25" s="333"/>
      <c r="P25" s="294"/>
      <c r="Q25" s="294"/>
      <c r="R25" s="329" t="s">
        <v>269</v>
      </c>
      <c r="S25" s="341" t="s">
        <v>270</v>
      </c>
      <c r="T25" s="341" t="s">
        <v>218</v>
      </c>
      <c r="U25" s="359"/>
      <c r="V25" s="327"/>
    </row>
    <row r="26" spans="1:22" ht="62.1" hidden="1">
      <c r="A26" s="357" t="s">
        <v>16</v>
      </c>
      <c r="B26" s="339">
        <v>1310</v>
      </c>
      <c r="C26" s="351" t="str">
        <f>C25</f>
        <v>Monitor WASH service performance and satisfaction.</v>
      </c>
      <c r="D26" s="340" t="s">
        <v>82</v>
      </c>
      <c r="E26" s="326" t="s">
        <v>271</v>
      </c>
      <c r="F26" s="340" t="s">
        <v>83</v>
      </c>
      <c r="G26" s="330" t="s">
        <v>84</v>
      </c>
      <c r="H26" s="348"/>
      <c r="I26" s="348"/>
      <c r="J26" s="326" t="s">
        <v>272</v>
      </c>
      <c r="K26" s="333" t="s">
        <v>263</v>
      </c>
      <c r="L26" s="330" t="s">
        <v>257</v>
      </c>
      <c r="M26" s="330" t="s">
        <v>213</v>
      </c>
      <c r="N26" s="330" t="s">
        <v>214</v>
      </c>
      <c r="O26" s="333"/>
      <c r="P26" s="294"/>
      <c r="Q26" s="294"/>
      <c r="R26" s="329"/>
      <c r="S26" s="341" t="s">
        <v>246</v>
      </c>
      <c r="T26" s="341" t="s">
        <v>218</v>
      </c>
      <c r="U26" s="359"/>
      <c r="V26" s="327"/>
    </row>
    <row r="27" spans="1:22" ht="99" hidden="1" customHeight="1">
      <c r="A27" s="357" t="s">
        <v>16</v>
      </c>
      <c r="B27" s="339">
        <v>1320</v>
      </c>
      <c r="C27" s="351" t="str">
        <f>'Log frame'!D21</f>
        <v>Review service provider performance with stakeholders.</v>
      </c>
      <c r="D27" s="340" t="s">
        <v>85</v>
      </c>
      <c r="E27" s="326" t="s">
        <v>273</v>
      </c>
      <c r="F27" s="340" t="s">
        <v>87</v>
      </c>
      <c r="G27" s="352" t="s">
        <v>58</v>
      </c>
      <c r="H27" s="326" t="s">
        <v>227</v>
      </c>
      <c r="I27" s="326" t="str">
        <f t="shared" si="0"/>
        <v>Mattson</v>
      </c>
      <c r="J27" s="326" t="s">
        <v>262</v>
      </c>
      <c r="K27" s="349" t="s">
        <v>274</v>
      </c>
      <c r="L27" s="330" t="s">
        <v>275</v>
      </c>
      <c r="M27" s="352" t="s">
        <v>213</v>
      </c>
      <c r="N27" s="330" t="s">
        <v>236</v>
      </c>
      <c r="O27" s="333" t="s">
        <v>215</v>
      </c>
      <c r="P27" s="294"/>
      <c r="Q27" s="294"/>
      <c r="R27" s="294" t="s">
        <v>36</v>
      </c>
      <c r="S27" s="341" t="s">
        <v>246</v>
      </c>
      <c r="T27" s="294" t="s">
        <v>236</v>
      </c>
      <c r="U27" s="359" t="s">
        <v>215</v>
      </c>
      <c r="V27" s="198" t="s">
        <v>240</v>
      </c>
    </row>
    <row r="28" spans="1:22" ht="34.5" hidden="1" customHeight="1">
      <c r="A28" s="393" t="s">
        <v>37</v>
      </c>
      <c r="B28" s="394">
        <v>2000</v>
      </c>
      <c r="C28" s="396" t="str">
        <f>'Log frame'!E15</f>
        <v>Enhanced household access to and use of sustainable, affordable, and safe water, sanitation and hygiene services.​</v>
      </c>
      <c r="D28" s="397" t="s">
        <v>36</v>
      </c>
      <c r="E28" s="395" t="s">
        <v>36</v>
      </c>
      <c r="F28" s="395" t="s">
        <v>36</v>
      </c>
      <c r="G28" s="395" t="s">
        <v>36</v>
      </c>
      <c r="H28" s="326" t="s">
        <v>36</v>
      </c>
      <c r="I28" s="326" t="str">
        <f t="shared" si="0"/>
        <v>Mattson</v>
      </c>
      <c r="J28" s="395" t="s">
        <v>36</v>
      </c>
      <c r="K28" s="395" t="s">
        <v>36</v>
      </c>
      <c r="L28" s="395" t="s">
        <v>36</v>
      </c>
      <c r="M28" s="326"/>
      <c r="N28" s="395" t="s">
        <v>36</v>
      </c>
      <c r="O28" s="326" t="s">
        <v>36</v>
      </c>
      <c r="P28" s="326" t="s">
        <v>36</v>
      </c>
      <c r="Q28" s="326" t="s">
        <v>36</v>
      </c>
      <c r="R28" s="326" t="s">
        <v>36</v>
      </c>
      <c r="S28" s="395" t="s">
        <v>36</v>
      </c>
      <c r="T28" s="395" t="s">
        <v>36</v>
      </c>
      <c r="U28" s="358" t="s">
        <v>36</v>
      </c>
      <c r="V28" s="136" t="s">
        <v>207</v>
      </c>
    </row>
    <row r="29" spans="1:22" ht="34.5" hidden="1" customHeight="1">
      <c r="A29" s="399" t="s">
        <v>40</v>
      </c>
      <c r="B29" s="401">
        <v>2100</v>
      </c>
      <c r="C29" s="408" t="str">
        <f>'Log frame'!E17</f>
        <v>Increased household access to sustainable, affordable, and safe drinking water services.​</v>
      </c>
      <c r="D29" s="402" t="s">
        <v>89</v>
      </c>
      <c r="E29" s="401" t="s">
        <v>276</v>
      </c>
      <c r="F29" s="402" t="s">
        <v>91</v>
      </c>
      <c r="G29" s="409" t="s">
        <v>92</v>
      </c>
      <c r="H29" s="348" t="s">
        <v>209</v>
      </c>
      <c r="I29" s="348" t="str">
        <f t="shared" si="0"/>
        <v>Mattson</v>
      </c>
      <c r="J29" s="401" t="s">
        <v>277</v>
      </c>
      <c r="K29" s="410" t="s">
        <v>278</v>
      </c>
      <c r="L29" s="405" t="s">
        <v>279</v>
      </c>
      <c r="M29" s="330" t="s">
        <v>258</v>
      </c>
      <c r="N29" s="405" t="s">
        <v>236</v>
      </c>
      <c r="O29" s="333" t="s">
        <v>215</v>
      </c>
      <c r="P29" s="294"/>
      <c r="Q29" s="294"/>
      <c r="R29" s="331" t="s">
        <v>280</v>
      </c>
      <c r="S29" s="404" t="s">
        <v>246</v>
      </c>
      <c r="T29" s="404" t="s">
        <v>236</v>
      </c>
      <c r="U29" s="362" t="s">
        <v>247</v>
      </c>
      <c r="V29" s="198" t="s">
        <v>281</v>
      </c>
    </row>
    <row r="30" spans="1:22" ht="34.5" hidden="1" customHeight="1">
      <c r="A30" s="399" t="s">
        <v>40</v>
      </c>
      <c r="B30" s="401">
        <v>2100</v>
      </c>
      <c r="C30" s="408" t="str">
        <f>'Log frame'!E17</f>
        <v>Increased household access to sustainable, affordable, and safe drinking water services.​</v>
      </c>
      <c r="D30" s="402" t="s">
        <v>93</v>
      </c>
      <c r="E30" s="401" t="s">
        <v>282</v>
      </c>
      <c r="F30" s="402" t="s">
        <v>94</v>
      </c>
      <c r="G30" s="409" t="s">
        <v>92</v>
      </c>
      <c r="H30" s="348" t="s">
        <v>209</v>
      </c>
      <c r="I30" s="348" t="str">
        <f t="shared" si="0"/>
        <v>Mattson</v>
      </c>
      <c r="J30" s="401" t="s">
        <v>283</v>
      </c>
      <c r="K30" s="410" t="s">
        <v>278</v>
      </c>
      <c r="L30" s="405" t="s">
        <v>279</v>
      </c>
      <c r="M30" s="330" t="s">
        <v>258</v>
      </c>
      <c r="N30" s="405" t="s">
        <v>236</v>
      </c>
      <c r="O30" s="333" t="s">
        <v>215</v>
      </c>
      <c r="P30" s="294"/>
      <c r="Q30" s="294"/>
      <c r="R30" s="331" t="s">
        <v>280</v>
      </c>
      <c r="S30" s="404" t="s">
        <v>246</v>
      </c>
      <c r="T30" s="404" t="s">
        <v>236</v>
      </c>
      <c r="U30" s="362" t="s">
        <v>247</v>
      </c>
      <c r="V30" s="198" t="s">
        <v>281</v>
      </c>
    </row>
    <row r="31" spans="1:22" ht="34.5" hidden="1" customHeight="1">
      <c r="A31" s="399" t="s">
        <v>40</v>
      </c>
      <c r="B31" s="401">
        <v>2100</v>
      </c>
      <c r="C31" s="408" t="str">
        <f>'Log frame'!E17</f>
        <v>Increased household access to sustainable, affordable, and safe drinking water services.​</v>
      </c>
      <c r="D31" s="402" t="s">
        <v>95</v>
      </c>
      <c r="E31" s="402" t="s">
        <v>284</v>
      </c>
      <c r="F31" s="402" t="s">
        <v>96</v>
      </c>
      <c r="G31" s="401" t="s">
        <v>69</v>
      </c>
      <c r="H31" s="348" t="s">
        <v>227</v>
      </c>
      <c r="I31" s="348" t="str">
        <f t="shared" si="0"/>
        <v>Mattson</v>
      </c>
      <c r="J31" s="407" t="s">
        <v>228</v>
      </c>
      <c r="K31" s="403" t="s">
        <v>253</v>
      </c>
      <c r="L31" s="407" t="s">
        <v>279</v>
      </c>
      <c r="M31" s="348" t="s">
        <v>258</v>
      </c>
      <c r="N31" s="405" t="s">
        <v>218</v>
      </c>
      <c r="O31" s="333" t="s">
        <v>215</v>
      </c>
      <c r="P31" s="348"/>
      <c r="Q31" s="348"/>
      <c r="R31" s="350" t="s">
        <v>245</v>
      </c>
      <c r="S31" s="404" t="s">
        <v>246</v>
      </c>
      <c r="T31" s="404" t="s">
        <v>236</v>
      </c>
      <c r="U31" s="362" t="s">
        <v>247</v>
      </c>
      <c r="V31" s="328" t="s">
        <v>248</v>
      </c>
    </row>
    <row r="32" spans="1:22" ht="34.5" hidden="1" customHeight="1">
      <c r="A32" s="357" t="s">
        <v>16</v>
      </c>
      <c r="B32" s="326">
        <v>2110</v>
      </c>
      <c r="C32" s="345" t="str">
        <f>'Log frame'!E19</f>
        <v xml:space="preserve">Develop community managed water points. </v>
      </c>
      <c r="D32" s="340" t="s">
        <v>97</v>
      </c>
      <c r="E32" s="326" t="s">
        <v>285</v>
      </c>
      <c r="F32" s="340" t="s">
        <v>99</v>
      </c>
      <c r="G32" s="352" t="s">
        <v>100</v>
      </c>
      <c r="H32" s="348" t="s">
        <v>209</v>
      </c>
      <c r="I32" s="348" t="str">
        <f t="shared" si="0"/>
        <v>Mattson</v>
      </c>
      <c r="J32" s="353" t="s">
        <v>286</v>
      </c>
      <c r="K32" s="333" t="s">
        <v>253</v>
      </c>
      <c r="L32" s="330" t="s">
        <v>279</v>
      </c>
      <c r="M32" s="330" t="s">
        <v>258</v>
      </c>
      <c r="N32" s="330" t="s">
        <v>218</v>
      </c>
      <c r="O32" s="333" t="s">
        <v>215</v>
      </c>
      <c r="P32" s="294"/>
      <c r="Q32" s="294"/>
      <c r="R32" s="331" t="s">
        <v>280</v>
      </c>
      <c r="S32" s="341" t="s">
        <v>217</v>
      </c>
      <c r="T32" s="341" t="s">
        <v>218</v>
      </c>
      <c r="U32" s="362" t="s">
        <v>247</v>
      </c>
      <c r="V32" s="198" t="s">
        <v>281</v>
      </c>
    </row>
    <row r="33" spans="1:22" ht="34.5" hidden="1" customHeight="1">
      <c r="A33" s="357" t="s">
        <v>16</v>
      </c>
      <c r="B33" s="326">
        <v>2120</v>
      </c>
      <c r="C33" s="345" t="str">
        <f>'Log frame'!E21</f>
        <v>Rehabilitate and expand professionally operated piped water systems.</v>
      </c>
      <c r="D33" s="340" t="s">
        <v>101</v>
      </c>
      <c r="E33" s="326" t="s">
        <v>287</v>
      </c>
      <c r="F33" s="340" t="s">
        <v>103</v>
      </c>
      <c r="G33" s="352" t="s">
        <v>100</v>
      </c>
      <c r="H33" s="348" t="s">
        <v>209</v>
      </c>
      <c r="I33" s="348" t="str">
        <f t="shared" si="0"/>
        <v>Mattson</v>
      </c>
      <c r="J33" s="353" t="s">
        <v>288</v>
      </c>
      <c r="K33" s="333" t="s">
        <v>274</v>
      </c>
      <c r="L33" s="330" t="s">
        <v>279</v>
      </c>
      <c r="M33" s="330" t="s">
        <v>213</v>
      </c>
      <c r="N33" s="330" t="s">
        <v>218</v>
      </c>
      <c r="O33" s="333" t="s">
        <v>215</v>
      </c>
      <c r="P33" s="294"/>
      <c r="Q33" s="294"/>
      <c r="R33" s="331" t="s">
        <v>280</v>
      </c>
      <c r="S33" s="341" t="s">
        <v>217</v>
      </c>
      <c r="T33" s="341" t="s">
        <v>218</v>
      </c>
      <c r="U33" s="362" t="s">
        <v>247</v>
      </c>
      <c r="V33" s="198" t="s">
        <v>281</v>
      </c>
    </row>
    <row r="34" spans="1:22" ht="34.5" customHeight="1">
      <c r="A34" s="399" t="s">
        <v>40</v>
      </c>
      <c r="B34" s="401">
        <v>2200</v>
      </c>
      <c r="C34" s="408" t="str">
        <f>'Log frame'!F17</f>
        <v>Increased household access to sustainable, affordable, and safe sanitation services.​</v>
      </c>
      <c r="D34" s="402" t="s">
        <v>104</v>
      </c>
      <c r="E34" s="401" t="s">
        <v>289</v>
      </c>
      <c r="F34" s="411" t="s">
        <v>106</v>
      </c>
      <c r="G34" s="401" t="s">
        <v>107</v>
      </c>
      <c r="H34" s="348" t="s">
        <v>209</v>
      </c>
      <c r="I34" s="348" t="str">
        <f t="shared" si="0"/>
        <v>Mattson</v>
      </c>
      <c r="J34" s="401" t="s">
        <v>228</v>
      </c>
      <c r="K34" s="403" t="s">
        <v>290</v>
      </c>
      <c r="L34" s="405" t="s">
        <v>233</v>
      </c>
      <c r="M34" s="330" t="s">
        <v>258</v>
      </c>
      <c r="N34" s="405" t="s">
        <v>218</v>
      </c>
      <c r="O34" s="333" t="s">
        <v>215</v>
      </c>
      <c r="P34" s="294"/>
      <c r="Q34" s="294"/>
      <c r="R34" s="331" t="s">
        <v>280</v>
      </c>
      <c r="S34" s="404" t="s">
        <v>291</v>
      </c>
      <c r="T34" s="404" t="s">
        <v>218</v>
      </c>
      <c r="U34" s="362" t="s">
        <v>247</v>
      </c>
      <c r="V34" s="198" t="s">
        <v>281</v>
      </c>
    </row>
    <row r="35" spans="1:22" ht="34.5" customHeight="1">
      <c r="A35" s="399" t="s">
        <v>40</v>
      </c>
      <c r="B35" s="401">
        <v>2200</v>
      </c>
      <c r="C35" s="408" t="str">
        <f>C34</f>
        <v>Increased household access to sustainable, affordable, and safe sanitation services.​</v>
      </c>
      <c r="D35" s="402" t="s">
        <v>108</v>
      </c>
      <c r="E35" s="401" t="s">
        <v>292</v>
      </c>
      <c r="F35" s="402" t="s">
        <v>109</v>
      </c>
      <c r="G35" s="405" t="s">
        <v>107</v>
      </c>
      <c r="H35" s="348" t="s">
        <v>209</v>
      </c>
      <c r="I35" s="348" t="str">
        <f t="shared" si="0"/>
        <v>Mattson</v>
      </c>
      <c r="J35" s="402" t="s">
        <v>293</v>
      </c>
      <c r="K35" s="403" t="s">
        <v>290</v>
      </c>
      <c r="L35" s="405" t="s">
        <v>294</v>
      </c>
      <c r="M35" s="330" t="s">
        <v>258</v>
      </c>
      <c r="N35" s="405" t="s">
        <v>236</v>
      </c>
      <c r="O35" s="333" t="s">
        <v>215</v>
      </c>
      <c r="P35" s="294"/>
      <c r="Q35" s="294"/>
      <c r="R35" s="331" t="s">
        <v>280</v>
      </c>
      <c r="S35" s="404" t="s">
        <v>246</v>
      </c>
      <c r="T35" s="404" t="s">
        <v>236</v>
      </c>
      <c r="U35" s="362" t="s">
        <v>247</v>
      </c>
      <c r="V35" s="198" t="s">
        <v>281</v>
      </c>
    </row>
    <row r="36" spans="1:22" ht="34.5" hidden="1" customHeight="1">
      <c r="A36" s="399" t="s">
        <v>40</v>
      </c>
      <c r="B36" s="401">
        <v>2200</v>
      </c>
      <c r="C36" s="408" t="str">
        <f>'Log frame'!F17</f>
        <v>Increased household access to sustainable, affordable, and safe sanitation services.​</v>
      </c>
      <c r="D36" s="402" t="s">
        <v>110</v>
      </c>
      <c r="E36" s="401" t="s">
        <v>295</v>
      </c>
      <c r="F36" s="402" t="s">
        <v>111</v>
      </c>
      <c r="G36" s="405" t="s">
        <v>112</v>
      </c>
      <c r="H36" s="326" t="s">
        <v>296</v>
      </c>
      <c r="I36" s="326" t="str">
        <f t="shared" si="0"/>
        <v>Mattson</v>
      </c>
      <c r="J36" s="401" t="s">
        <v>297</v>
      </c>
      <c r="K36" s="410" t="s">
        <v>278</v>
      </c>
      <c r="L36" s="405" t="s">
        <v>279</v>
      </c>
      <c r="M36" s="330" t="s">
        <v>258</v>
      </c>
      <c r="N36" s="405" t="s">
        <v>298</v>
      </c>
      <c r="O36" s="333" t="s">
        <v>215</v>
      </c>
      <c r="P36" s="294"/>
      <c r="Q36" s="294"/>
      <c r="R36" s="331" t="s">
        <v>280</v>
      </c>
      <c r="S36" s="412" t="s">
        <v>299</v>
      </c>
      <c r="T36" s="404" t="s">
        <v>236</v>
      </c>
      <c r="U36" s="362" t="s">
        <v>247</v>
      </c>
      <c r="V36" s="198" t="s">
        <v>281</v>
      </c>
    </row>
    <row r="37" spans="1:22" ht="34.5" hidden="1" customHeight="1">
      <c r="A37" s="357" t="s">
        <v>16</v>
      </c>
      <c r="B37" s="339">
        <v>2210</v>
      </c>
      <c r="C37" s="345" t="str">
        <f>'Log frame'!F19</f>
        <v>Mobilize communities to achieve Open Defecation Free status</v>
      </c>
      <c r="D37" s="340" t="s">
        <v>113</v>
      </c>
      <c r="E37" s="342" t="s">
        <v>300</v>
      </c>
      <c r="F37" s="340" t="s">
        <v>115</v>
      </c>
      <c r="G37" s="352" t="s">
        <v>100</v>
      </c>
      <c r="H37" s="326" t="s">
        <v>296</v>
      </c>
      <c r="I37" s="326" t="str">
        <f t="shared" si="0"/>
        <v>Mattson</v>
      </c>
      <c r="J37" s="326" t="s">
        <v>297</v>
      </c>
      <c r="K37" s="331" t="s">
        <v>278</v>
      </c>
      <c r="L37" s="326" t="s">
        <v>279</v>
      </c>
      <c r="M37" s="326" t="s">
        <v>258</v>
      </c>
      <c r="N37" s="330" t="s">
        <v>214</v>
      </c>
      <c r="O37" s="333" t="s">
        <v>215</v>
      </c>
      <c r="P37" s="294"/>
      <c r="Q37" s="294"/>
      <c r="R37" s="331" t="s">
        <v>280</v>
      </c>
      <c r="S37" s="341" t="s">
        <v>217</v>
      </c>
      <c r="T37" s="341" t="s">
        <v>218</v>
      </c>
      <c r="U37" s="362" t="s">
        <v>247</v>
      </c>
      <c r="V37" s="198" t="s">
        <v>281</v>
      </c>
    </row>
    <row r="38" spans="1:22" ht="34.5" hidden="1" customHeight="1">
      <c r="A38" s="357" t="s">
        <v>16</v>
      </c>
      <c r="B38" s="339">
        <v>2230</v>
      </c>
      <c r="C38" s="345" t="str">
        <f>'Log frame'!F23</f>
        <v>Construct public latrines.</v>
      </c>
      <c r="D38" s="340" t="s">
        <v>116</v>
      </c>
      <c r="E38" s="326" t="s">
        <v>301</v>
      </c>
      <c r="F38" s="326" t="s">
        <v>118</v>
      </c>
      <c r="G38" s="352" t="s">
        <v>119</v>
      </c>
      <c r="H38" s="348" t="s">
        <v>209</v>
      </c>
      <c r="I38" s="348" t="s">
        <v>302</v>
      </c>
      <c r="J38" s="340" t="s">
        <v>293</v>
      </c>
      <c r="K38" s="331" t="s">
        <v>303</v>
      </c>
      <c r="L38" s="330" t="s">
        <v>279</v>
      </c>
      <c r="M38" s="330" t="s">
        <v>213</v>
      </c>
      <c r="N38" s="330" t="s">
        <v>218</v>
      </c>
      <c r="O38" s="333" t="s">
        <v>215</v>
      </c>
      <c r="P38" s="294"/>
      <c r="Q38" s="294"/>
      <c r="R38" s="331" t="s">
        <v>280</v>
      </c>
      <c r="S38" s="341" t="s">
        <v>246</v>
      </c>
      <c r="T38" s="341" t="s">
        <v>218</v>
      </c>
      <c r="U38" s="362" t="s">
        <v>247</v>
      </c>
      <c r="V38" s="198" t="s">
        <v>304</v>
      </c>
    </row>
    <row r="39" spans="1:22" ht="34.5" hidden="1" customHeight="1">
      <c r="A39" s="399" t="s">
        <v>40</v>
      </c>
      <c r="B39" s="401">
        <v>2300</v>
      </c>
      <c r="C39" s="402" t="str">
        <f>'Log frame'!G17</f>
        <v>Increased household access to hygiene services.</v>
      </c>
      <c r="D39" s="402" t="s">
        <v>120</v>
      </c>
      <c r="E39" s="401" t="s">
        <v>305</v>
      </c>
      <c r="F39" s="402" t="s">
        <v>122</v>
      </c>
      <c r="G39" s="409" t="s">
        <v>123</v>
      </c>
      <c r="H39" s="326" t="s">
        <v>227</v>
      </c>
      <c r="I39" s="326" t="str">
        <f t="shared" si="0"/>
        <v>Mattson</v>
      </c>
      <c r="J39" s="413" t="s">
        <v>306</v>
      </c>
      <c r="K39" s="410" t="s">
        <v>278</v>
      </c>
      <c r="L39" s="405" t="s">
        <v>279</v>
      </c>
      <c r="M39" s="330" t="s">
        <v>258</v>
      </c>
      <c r="N39" s="405" t="s">
        <v>298</v>
      </c>
      <c r="O39" s="333" t="s">
        <v>215</v>
      </c>
      <c r="P39" s="294"/>
      <c r="Q39" s="294"/>
      <c r="R39" s="331" t="s">
        <v>280</v>
      </c>
      <c r="S39" s="412" t="s">
        <v>299</v>
      </c>
      <c r="T39" s="404" t="s">
        <v>218</v>
      </c>
      <c r="U39" s="362" t="s">
        <v>247</v>
      </c>
      <c r="V39" s="198" t="s">
        <v>307</v>
      </c>
    </row>
    <row r="40" spans="1:22" ht="34.5" hidden="1" customHeight="1">
      <c r="A40" s="357" t="s">
        <v>16</v>
      </c>
      <c r="B40" s="339">
        <v>2310</v>
      </c>
      <c r="C40" s="326" t="str">
        <f>'Log frame'!G19</f>
        <v>Train skilled community animators to deliver hygiene trainings and community mobilization.​</v>
      </c>
      <c r="D40" s="340" t="s">
        <v>124</v>
      </c>
      <c r="E40" s="326" t="s">
        <v>308</v>
      </c>
      <c r="F40" s="326" t="s">
        <v>126</v>
      </c>
      <c r="G40" s="352" t="s">
        <v>127</v>
      </c>
      <c r="H40" s="326" t="s">
        <v>227</v>
      </c>
      <c r="I40" s="326" t="str">
        <f t="shared" si="0"/>
        <v>Mattson</v>
      </c>
      <c r="J40" s="326" t="s">
        <v>228</v>
      </c>
      <c r="K40" s="333" t="s">
        <v>309</v>
      </c>
      <c r="L40" s="330" t="s">
        <v>279</v>
      </c>
      <c r="M40" s="330" t="s">
        <v>258</v>
      </c>
      <c r="N40" s="330" t="s">
        <v>268</v>
      </c>
      <c r="O40" s="333" t="s">
        <v>215</v>
      </c>
      <c r="P40" s="294"/>
      <c r="Q40" s="294"/>
      <c r="R40" s="330" t="s">
        <v>223</v>
      </c>
      <c r="S40" s="341" t="s">
        <v>291</v>
      </c>
      <c r="T40" s="341" t="s">
        <v>218</v>
      </c>
      <c r="U40" s="359" t="s">
        <v>215</v>
      </c>
      <c r="V40" s="198" t="s">
        <v>240</v>
      </c>
    </row>
    <row r="41" spans="1:22" ht="34.5" hidden="1" customHeight="1">
      <c r="A41" s="357" t="s">
        <v>16</v>
      </c>
      <c r="B41" s="339">
        <v>2310</v>
      </c>
      <c r="C41" s="326" t="s">
        <v>125</v>
      </c>
      <c r="D41" s="326" t="s">
        <v>128</v>
      </c>
      <c r="E41" s="326" t="s">
        <v>310</v>
      </c>
      <c r="F41" s="326" t="s">
        <v>129</v>
      </c>
      <c r="G41" s="352" t="s">
        <v>130</v>
      </c>
      <c r="H41" s="326" t="s">
        <v>221</v>
      </c>
      <c r="I41" s="326" t="s">
        <v>222</v>
      </c>
      <c r="J41" s="326" t="s">
        <v>311</v>
      </c>
      <c r="K41" s="333" t="s">
        <v>312</v>
      </c>
      <c r="L41" s="330" t="s">
        <v>279</v>
      </c>
      <c r="M41" s="330" t="s">
        <v>213</v>
      </c>
      <c r="N41" s="330" t="s">
        <v>214</v>
      </c>
      <c r="O41" s="333" t="s">
        <v>215</v>
      </c>
      <c r="P41" s="330" t="s">
        <v>223</v>
      </c>
      <c r="Q41" s="341" t="s">
        <v>259</v>
      </c>
      <c r="R41" s="330" t="s">
        <v>223</v>
      </c>
      <c r="S41" s="341" t="s">
        <v>217</v>
      </c>
      <c r="T41" s="341" t="s">
        <v>218</v>
      </c>
      <c r="U41" s="359" t="s">
        <v>215</v>
      </c>
      <c r="V41"/>
    </row>
    <row r="42" spans="1:22" ht="34.5" hidden="1" customHeight="1">
      <c r="A42" s="357" t="s">
        <v>16</v>
      </c>
      <c r="B42" s="339">
        <v>2320</v>
      </c>
      <c r="C42" s="345" t="str">
        <f>'Log frame'!G21</f>
        <v>Certify the sustained usage of hygiene services.</v>
      </c>
      <c r="D42" s="326" t="s">
        <v>131</v>
      </c>
      <c r="E42" s="326" t="s">
        <v>313</v>
      </c>
      <c r="F42" s="340" t="s">
        <v>132</v>
      </c>
      <c r="G42" s="352" t="s">
        <v>100</v>
      </c>
      <c r="H42" s="326" t="s">
        <v>227</v>
      </c>
      <c r="I42" s="326" t="str">
        <f t="shared" si="0"/>
        <v>Mattson</v>
      </c>
      <c r="J42" s="326" t="s">
        <v>228</v>
      </c>
      <c r="K42" s="333" t="s">
        <v>290</v>
      </c>
      <c r="L42" s="330" t="s">
        <v>279</v>
      </c>
      <c r="M42" s="330" t="s">
        <v>258</v>
      </c>
      <c r="N42" s="330" t="s">
        <v>214</v>
      </c>
      <c r="O42" s="333" t="s">
        <v>215</v>
      </c>
      <c r="P42" s="294"/>
      <c r="Q42" s="294"/>
      <c r="R42" s="330" t="s">
        <v>223</v>
      </c>
      <c r="S42" s="341" t="s">
        <v>246</v>
      </c>
      <c r="T42" s="341" t="s">
        <v>218</v>
      </c>
      <c r="U42" s="359" t="s">
        <v>215</v>
      </c>
      <c r="V42" s="198" t="s">
        <v>240</v>
      </c>
    </row>
    <row r="43" spans="1:22" ht="47.1" hidden="1" customHeight="1">
      <c r="A43" s="399" t="s">
        <v>40</v>
      </c>
      <c r="B43" s="401">
        <v>2400</v>
      </c>
      <c r="C43" s="402" t="str">
        <f>'Log frame'!H17</f>
        <v>Increased access to sustainable, safe drinking water, sanitation, and hygiene materials in healthcare facilities, schools, and public places.</v>
      </c>
      <c r="D43" s="402" t="s">
        <v>133</v>
      </c>
      <c r="E43" s="414" t="s">
        <v>314</v>
      </c>
      <c r="F43" s="414" t="s">
        <v>135</v>
      </c>
      <c r="G43" s="405" t="s">
        <v>136</v>
      </c>
      <c r="H43" s="348" t="s">
        <v>209</v>
      </c>
      <c r="I43" s="348" t="s">
        <v>302</v>
      </c>
      <c r="J43" s="401" t="s">
        <v>315</v>
      </c>
      <c r="K43" s="403" t="s">
        <v>316</v>
      </c>
      <c r="L43" s="405" t="s">
        <v>279</v>
      </c>
      <c r="M43" s="330" t="s">
        <v>258</v>
      </c>
      <c r="N43" s="405" t="s">
        <v>236</v>
      </c>
      <c r="O43" s="333" t="s">
        <v>215</v>
      </c>
      <c r="P43" s="294"/>
      <c r="Q43" s="294"/>
      <c r="R43" s="331" t="s">
        <v>317</v>
      </c>
      <c r="S43" s="412" t="s">
        <v>246</v>
      </c>
      <c r="T43" s="404" t="s">
        <v>236</v>
      </c>
      <c r="U43" s="362" t="s">
        <v>247</v>
      </c>
      <c r="V43" s="198" t="s">
        <v>248</v>
      </c>
    </row>
    <row r="44" spans="1:22" ht="56.1" hidden="1" customHeight="1">
      <c r="A44" s="399" t="s">
        <v>40</v>
      </c>
      <c r="B44" s="401">
        <v>2400</v>
      </c>
      <c r="C44" s="402" t="str">
        <f>'Log frame'!H17</f>
        <v>Increased access to sustainable, safe drinking water, sanitation, and hygiene materials in healthcare facilities, schools, and public places.</v>
      </c>
      <c r="D44" s="402" t="s">
        <v>137</v>
      </c>
      <c r="E44" s="415" t="s">
        <v>318</v>
      </c>
      <c r="F44" s="414" t="s">
        <v>138</v>
      </c>
      <c r="G44" s="405" t="s">
        <v>139</v>
      </c>
      <c r="H44" s="348" t="s">
        <v>209</v>
      </c>
      <c r="I44" s="348" t="s">
        <v>302</v>
      </c>
      <c r="J44" s="401" t="s">
        <v>315</v>
      </c>
      <c r="K44" s="403" t="s">
        <v>319</v>
      </c>
      <c r="L44" s="405" t="s">
        <v>279</v>
      </c>
      <c r="M44" s="330" t="s">
        <v>258</v>
      </c>
      <c r="N44" s="405" t="s">
        <v>236</v>
      </c>
      <c r="O44" s="333" t="s">
        <v>215</v>
      </c>
      <c r="P44" s="294"/>
      <c r="Q44" s="294"/>
      <c r="R44" s="331" t="s">
        <v>320</v>
      </c>
      <c r="S44" s="412" t="s">
        <v>246</v>
      </c>
      <c r="T44" s="404" t="s">
        <v>236</v>
      </c>
      <c r="U44" s="362" t="s">
        <v>247</v>
      </c>
      <c r="V44" s="198" t="s">
        <v>248</v>
      </c>
    </row>
    <row r="45" spans="1:22" ht="34.5" hidden="1" customHeight="1">
      <c r="A45" s="357" t="s">
        <v>16</v>
      </c>
      <c r="B45" s="339">
        <v>2410</v>
      </c>
      <c r="C45" s="326" t="str">
        <f>'Log frame'!H19</f>
        <v>Construct or rehabilitate water supply for healthcare facilities and schools.</v>
      </c>
      <c r="D45" s="339" t="s">
        <v>140</v>
      </c>
      <c r="E45" s="354" t="s">
        <v>321</v>
      </c>
      <c r="F45" s="354" t="s">
        <v>142</v>
      </c>
      <c r="G45" s="330" t="s">
        <v>143</v>
      </c>
      <c r="H45" s="348" t="s">
        <v>209</v>
      </c>
      <c r="I45" s="348" t="s">
        <v>302</v>
      </c>
      <c r="J45" s="326" t="s">
        <v>322</v>
      </c>
      <c r="K45" s="333" t="s">
        <v>316</v>
      </c>
      <c r="L45" s="330" t="s">
        <v>279</v>
      </c>
      <c r="M45" s="330" t="s">
        <v>258</v>
      </c>
      <c r="N45" s="330" t="s">
        <v>218</v>
      </c>
      <c r="O45" s="333" t="s">
        <v>215</v>
      </c>
      <c r="P45" s="294"/>
      <c r="Q45" s="294"/>
      <c r="R45" s="331" t="s">
        <v>317</v>
      </c>
      <c r="S45" s="341" t="s">
        <v>246</v>
      </c>
      <c r="T45" s="341" t="s">
        <v>236</v>
      </c>
      <c r="U45" s="362" t="s">
        <v>247</v>
      </c>
      <c r="V45" s="198" t="s">
        <v>248</v>
      </c>
    </row>
    <row r="46" spans="1:22" ht="34.5" hidden="1" customHeight="1">
      <c r="A46" s="357" t="s">
        <v>16</v>
      </c>
      <c r="B46" s="339">
        <v>2410</v>
      </c>
      <c r="C46" s="326" t="str">
        <f>'Log frame'!H19</f>
        <v>Construct or rehabilitate water supply for healthcare facilities and schools.</v>
      </c>
      <c r="D46" s="339" t="s">
        <v>144</v>
      </c>
      <c r="E46" s="346" t="s">
        <v>323</v>
      </c>
      <c r="F46" s="354" t="s">
        <v>145</v>
      </c>
      <c r="G46" s="330" t="s">
        <v>146</v>
      </c>
      <c r="H46" s="348" t="s">
        <v>209</v>
      </c>
      <c r="I46" s="348" t="s">
        <v>302</v>
      </c>
      <c r="J46" s="326" t="s">
        <v>322</v>
      </c>
      <c r="K46" s="333" t="s">
        <v>319</v>
      </c>
      <c r="L46" s="330" t="s">
        <v>279</v>
      </c>
      <c r="M46" s="330" t="s">
        <v>258</v>
      </c>
      <c r="N46" s="330" t="s">
        <v>218</v>
      </c>
      <c r="O46" s="333" t="s">
        <v>215</v>
      </c>
      <c r="P46" s="294"/>
      <c r="Q46" s="294"/>
      <c r="R46" s="331" t="s">
        <v>320</v>
      </c>
      <c r="S46" s="341" t="s">
        <v>246</v>
      </c>
      <c r="T46" s="341" t="s">
        <v>236</v>
      </c>
      <c r="U46" s="362" t="s">
        <v>247</v>
      </c>
      <c r="V46" s="198" t="s">
        <v>248</v>
      </c>
    </row>
    <row r="47" spans="1:22" ht="34.5" hidden="1" customHeight="1">
      <c r="A47" s="357" t="s">
        <v>16</v>
      </c>
      <c r="B47" s="339">
        <v>2420</v>
      </c>
      <c r="C47" s="345" t="str">
        <f>'Log frame'!H21</f>
        <v>Construct communal, healthcare facility, and school latrines.</v>
      </c>
      <c r="D47" s="326" t="s">
        <v>147</v>
      </c>
      <c r="E47" s="346" t="s">
        <v>324</v>
      </c>
      <c r="F47" s="354" t="s">
        <v>149</v>
      </c>
      <c r="G47" s="330" t="s">
        <v>143</v>
      </c>
      <c r="H47" s="348" t="s">
        <v>209</v>
      </c>
      <c r="I47" s="348" t="s">
        <v>302</v>
      </c>
      <c r="J47" s="326" t="s">
        <v>325</v>
      </c>
      <c r="K47" s="333" t="s">
        <v>316</v>
      </c>
      <c r="L47" s="330" t="s">
        <v>279</v>
      </c>
      <c r="M47" s="330" t="s">
        <v>258</v>
      </c>
      <c r="N47" s="330" t="s">
        <v>218</v>
      </c>
      <c r="O47" s="333" t="s">
        <v>215</v>
      </c>
      <c r="P47" s="294"/>
      <c r="Q47" s="294"/>
      <c r="R47" s="331" t="s">
        <v>317</v>
      </c>
      <c r="S47" s="341" t="s">
        <v>246</v>
      </c>
      <c r="T47" s="341" t="s">
        <v>236</v>
      </c>
      <c r="U47" s="362" t="s">
        <v>247</v>
      </c>
      <c r="V47" s="198" t="s">
        <v>248</v>
      </c>
    </row>
    <row r="48" spans="1:22" ht="34.5" hidden="1" customHeight="1">
      <c r="A48" s="357" t="s">
        <v>16</v>
      </c>
      <c r="B48" s="339">
        <v>2420</v>
      </c>
      <c r="C48" s="345" t="str">
        <f>'Log frame'!H21</f>
        <v>Construct communal, healthcare facility, and school latrines.</v>
      </c>
      <c r="D48" s="326" t="s">
        <v>150</v>
      </c>
      <c r="E48" s="346" t="s">
        <v>326</v>
      </c>
      <c r="F48" s="354" t="s">
        <v>151</v>
      </c>
      <c r="G48" s="330" t="s">
        <v>146</v>
      </c>
      <c r="H48" s="348" t="s">
        <v>209</v>
      </c>
      <c r="I48" s="348" t="s">
        <v>302</v>
      </c>
      <c r="J48" s="326" t="s">
        <v>325</v>
      </c>
      <c r="K48" s="333" t="s">
        <v>319</v>
      </c>
      <c r="L48" s="330" t="s">
        <v>279</v>
      </c>
      <c r="M48" s="330" t="s">
        <v>258</v>
      </c>
      <c r="N48" s="330" t="s">
        <v>218</v>
      </c>
      <c r="O48" s="333" t="s">
        <v>215</v>
      </c>
      <c r="P48" s="294"/>
      <c r="Q48" s="294"/>
      <c r="R48" s="331" t="s">
        <v>320</v>
      </c>
      <c r="S48" s="341" t="s">
        <v>246</v>
      </c>
      <c r="T48" s="341" t="s">
        <v>236</v>
      </c>
      <c r="U48" s="362" t="s">
        <v>247</v>
      </c>
      <c r="V48" s="198" t="s">
        <v>248</v>
      </c>
    </row>
    <row r="49" spans="1:32" ht="34.5" hidden="1" customHeight="1">
      <c r="A49" s="357" t="s">
        <v>16</v>
      </c>
      <c r="B49" s="339">
        <v>2430</v>
      </c>
      <c r="C49" s="326" t="str">
        <f>'Log frame'!H23</f>
        <v>Work with (local authorities, civil society) to ensure access to soap or alcohol-based handrub at schools and healthcare facilities.</v>
      </c>
      <c r="D49" s="326" t="s">
        <v>152</v>
      </c>
      <c r="E49" s="326" t="s">
        <v>327</v>
      </c>
      <c r="F49" s="354" t="s">
        <v>154</v>
      </c>
      <c r="G49" s="330" t="s">
        <v>143</v>
      </c>
      <c r="H49" s="348" t="s">
        <v>209</v>
      </c>
      <c r="I49" s="348" t="s">
        <v>302</v>
      </c>
      <c r="J49" s="326" t="s">
        <v>328</v>
      </c>
      <c r="K49" s="333" t="s">
        <v>316</v>
      </c>
      <c r="L49" s="330" t="s">
        <v>279</v>
      </c>
      <c r="M49" s="330" t="s">
        <v>258</v>
      </c>
      <c r="N49" s="330" t="s">
        <v>218</v>
      </c>
      <c r="O49" s="333" t="s">
        <v>215</v>
      </c>
      <c r="P49" s="294"/>
      <c r="Q49" s="294"/>
      <c r="R49" s="331" t="s">
        <v>317</v>
      </c>
      <c r="S49" s="341" t="s">
        <v>246</v>
      </c>
      <c r="T49" s="341" t="s">
        <v>236</v>
      </c>
      <c r="U49" s="362" t="s">
        <v>247</v>
      </c>
      <c r="V49" s="336" t="s">
        <v>248</v>
      </c>
    </row>
    <row r="50" spans="1:32" ht="34.5" hidden="1" customHeight="1">
      <c r="A50" s="357" t="s">
        <v>16</v>
      </c>
      <c r="B50" s="339">
        <v>2430</v>
      </c>
      <c r="C50" s="326" t="str">
        <f>'Log frame'!H23</f>
        <v>Work with (local authorities, civil society) to ensure access to soap or alcohol-based handrub at schools and healthcare facilities.</v>
      </c>
      <c r="D50" s="326" t="s">
        <v>155</v>
      </c>
      <c r="E50" s="326" t="s">
        <v>329</v>
      </c>
      <c r="F50" s="354" t="s">
        <v>156</v>
      </c>
      <c r="G50" s="330" t="s">
        <v>146</v>
      </c>
      <c r="H50" s="348" t="s">
        <v>209</v>
      </c>
      <c r="I50" s="348" t="s">
        <v>302</v>
      </c>
      <c r="J50" s="326" t="s">
        <v>330</v>
      </c>
      <c r="K50" s="333" t="s">
        <v>319</v>
      </c>
      <c r="L50" s="330" t="s">
        <v>279</v>
      </c>
      <c r="M50" s="330" t="s">
        <v>258</v>
      </c>
      <c r="N50" s="330" t="s">
        <v>218</v>
      </c>
      <c r="O50" s="333" t="s">
        <v>215</v>
      </c>
      <c r="P50" s="294"/>
      <c r="Q50" s="294"/>
      <c r="R50" s="331" t="s">
        <v>320</v>
      </c>
      <c r="S50" s="341" t="s">
        <v>246</v>
      </c>
      <c r="T50" s="341" t="s">
        <v>236</v>
      </c>
      <c r="U50" s="362" t="s">
        <v>247</v>
      </c>
      <c r="V50" s="198" t="s">
        <v>248</v>
      </c>
    </row>
    <row r="51" spans="1:32" ht="34.5" hidden="1" customHeight="1">
      <c r="A51" s="393" t="s">
        <v>37</v>
      </c>
      <c r="B51" s="395">
        <v>3000</v>
      </c>
      <c r="C51" s="395" t="str">
        <f>'Log frame'!I15</f>
        <v>Expanded reach and resources leveraged through collective action with other national and international actors.​</v>
      </c>
      <c r="D51" s="395" t="s">
        <v>36</v>
      </c>
      <c r="E51" s="395" t="s">
        <v>36</v>
      </c>
      <c r="F51" s="395" t="s">
        <v>36</v>
      </c>
      <c r="G51" s="398" t="s">
        <v>36</v>
      </c>
      <c r="H51" s="326" t="s">
        <v>36</v>
      </c>
      <c r="I51" s="326" t="str">
        <f t="shared" si="0"/>
        <v>Mattson</v>
      </c>
      <c r="J51" s="398" t="s">
        <v>36</v>
      </c>
      <c r="K51" s="398" t="s">
        <v>36</v>
      </c>
      <c r="L51" s="398" t="s">
        <v>36</v>
      </c>
      <c r="M51" s="330"/>
      <c r="N51" s="398" t="s">
        <v>36</v>
      </c>
      <c r="O51" s="330" t="s">
        <v>36</v>
      </c>
      <c r="P51" s="330" t="s">
        <v>36</v>
      </c>
      <c r="Q51" s="330" t="s">
        <v>36</v>
      </c>
      <c r="R51" s="330" t="s">
        <v>36</v>
      </c>
      <c r="S51" s="398" t="s">
        <v>36</v>
      </c>
      <c r="T51" s="398" t="s">
        <v>36</v>
      </c>
      <c r="U51" s="361" t="s">
        <v>36</v>
      </c>
      <c r="V51" s="136" t="s">
        <v>207</v>
      </c>
    </row>
    <row r="52" spans="1:32" ht="34.5" hidden="1" customHeight="1">
      <c r="A52" s="399" t="s">
        <v>40</v>
      </c>
      <c r="B52" s="401">
        <v>3100</v>
      </c>
      <c r="C52" s="401" t="str">
        <f>'Log frame'!I17</f>
        <v>Increased government and non-government funding in alignment with HANWASH Core Values.</v>
      </c>
      <c r="D52" s="401" t="s">
        <v>157</v>
      </c>
      <c r="E52" s="401" t="s">
        <v>331</v>
      </c>
      <c r="F52" s="407" t="s">
        <v>158</v>
      </c>
      <c r="G52" s="405" t="s">
        <v>159</v>
      </c>
      <c r="H52" s="330" t="s">
        <v>332</v>
      </c>
      <c r="I52" s="330" t="str">
        <f t="shared" si="0"/>
        <v>Mattson</v>
      </c>
      <c r="J52" s="405" t="s">
        <v>333</v>
      </c>
      <c r="K52" s="403" t="s">
        <v>334</v>
      </c>
      <c r="L52" s="405" t="s">
        <v>335</v>
      </c>
      <c r="M52" s="330" t="s">
        <v>213</v>
      </c>
      <c r="N52" s="405" t="s">
        <v>236</v>
      </c>
      <c r="O52" s="350" t="s">
        <v>231</v>
      </c>
      <c r="P52" s="330"/>
      <c r="Q52" s="330"/>
      <c r="R52" s="330" t="s">
        <v>223</v>
      </c>
      <c r="S52" s="405" t="s">
        <v>336</v>
      </c>
      <c r="T52" s="405" t="s">
        <v>236</v>
      </c>
      <c r="U52" s="361" t="s">
        <v>231</v>
      </c>
      <c r="V52" s="328" t="s">
        <v>337</v>
      </c>
    </row>
    <row r="53" spans="1:32" ht="38.25" hidden="1" customHeight="1">
      <c r="A53" s="399" t="s">
        <v>40</v>
      </c>
      <c r="B53" s="401">
        <v>3100</v>
      </c>
      <c r="C53" s="401" t="str">
        <f>'Log frame'!I17</f>
        <v>Increased government and non-government funding in alignment with HANWASH Core Values.</v>
      </c>
      <c r="D53" s="409" t="s">
        <v>160</v>
      </c>
      <c r="E53" s="401" t="s">
        <v>338</v>
      </c>
      <c r="F53" s="407" t="s">
        <v>161</v>
      </c>
      <c r="G53" s="405" t="s">
        <v>162</v>
      </c>
      <c r="H53" s="330" t="s">
        <v>209</v>
      </c>
      <c r="I53" s="330" t="s">
        <v>222</v>
      </c>
      <c r="J53" s="405" t="s">
        <v>339</v>
      </c>
      <c r="K53" s="403" t="s">
        <v>334</v>
      </c>
      <c r="L53" s="405" t="s">
        <v>335</v>
      </c>
      <c r="M53" s="330" t="s">
        <v>213</v>
      </c>
      <c r="N53" s="405" t="s">
        <v>236</v>
      </c>
      <c r="O53" s="350" t="s">
        <v>231</v>
      </c>
      <c r="P53" s="330"/>
      <c r="Q53" s="330"/>
      <c r="R53" s="330" t="s">
        <v>223</v>
      </c>
      <c r="S53" s="405" t="s">
        <v>336</v>
      </c>
      <c r="T53" s="405" t="s">
        <v>236</v>
      </c>
      <c r="U53" s="361" t="s">
        <v>247</v>
      </c>
      <c r="V53" s="328" t="s">
        <v>240</v>
      </c>
      <c r="W53" s="8"/>
      <c r="X53" s="8"/>
      <c r="Y53" s="8"/>
      <c r="Z53" s="8"/>
      <c r="AA53" s="8"/>
      <c r="AB53" s="8"/>
      <c r="AC53" s="8"/>
      <c r="AD53" s="8"/>
      <c r="AE53" s="8"/>
      <c r="AF53" s="8"/>
    </row>
    <row r="54" spans="1:32" ht="34.5" hidden="1" customHeight="1">
      <c r="A54" s="357" t="s">
        <v>16</v>
      </c>
      <c r="B54" s="339">
        <v>3110</v>
      </c>
      <c r="C54" s="345" t="str">
        <f>'Log frame'!I19</f>
        <v>Mobilize and coordinate funding from government and non-government sources in HANWASH program areas in alignment with HANWASH Core Values.</v>
      </c>
      <c r="D54" s="326" t="s">
        <v>163</v>
      </c>
      <c r="E54" s="326" t="s">
        <v>340</v>
      </c>
      <c r="F54" s="340" t="s">
        <v>164</v>
      </c>
      <c r="G54" s="352" t="s">
        <v>159</v>
      </c>
      <c r="H54" s="326" t="s">
        <v>332</v>
      </c>
      <c r="I54" s="326" t="str">
        <f t="shared" si="0"/>
        <v>Mattson</v>
      </c>
      <c r="J54" s="326" t="s">
        <v>341</v>
      </c>
      <c r="K54" s="333" t="s">
        <v>334</v>
      </c>
      <c r="L54" s="330" t="s">
        <v>335</v>
      </c>
      <c r="M54" s="330" t="s">
        <v>213</v>
      </c>
      <c r="N54" s="330" t="s">
        <v>236</v>
      </c>
      <c r="O54" s="333" t="s">
        <v>231</v>
      </c>
      <c r="P54" s="294"/>
      <c r="Q54" s="294"/>
      <c r="R54" s="341" t="s">
        <v>223</v>
      </c>
      <c r="S54" s="341" t="s">
        <v>336</v>
      </c>
      <c r="T54" s="341" t="s">
        <v>236</v>
      </c>
      <c r="U54" s="359" t="s">
        <v>231</v>
      </c>
      <c r="V54" s="198" t="s">
        <v>337</v>
      </c>
    </row>
    <row r="55" spans="1:32" ht="34.5" hidden="1" customHeight="1">
      <c r="A55" s="357" t="s">
        <v>16</v>
      </c>
      <c r="B55" s="339">
        <v>3120</v>
      </c>
      <c r="C55" s="345" t="str">
        <f>'Log frame'!I21</f>
        <v>Mobilize and influence funding from government and non-government sources beyond HANWASH program areas in alignment with HANWASH Core Values.</v>
      </c>
      <c r="D55" s="326" t="s">
        <v>165</v>
      </c>
      <c r="E55" s="326" t="s">
        <v>342</v>
      </c>
      <c r="F55" s="340" t="s">
        <v>166</v>
      </c>
      <c r="G55" s="352" t="s">
        <v>159</v>
      </c>
      <c r="H55" s="326" t="s">
        <v>332</v>
      </c>
      <c r="I55" s="326" t="s">
        <v>302</v>
      </c>
      <c r="J55" s="326" t="s">
        <v>341</v>
      </c>
      <c r="K55" s="333" t="s">
        <v>334</v>
      </c>
      <c r="L55" s="330" t="s">
        <v>335</v>
      </c>
      <c r="M55" s="330" t="s">
        <v>213</v>
      </c>
      <c r="N55" s="330" t="s">
        <v>236</v>
      </c>
      <c r="O55" s="333" t="s">
        <v>231</v>
      </c>
      <c r="P55" s="294"/>
      <c r="Q55" s="294"/>
      <c r="R55" s="341" t="s">
        <v>223</v>
      </c>
      <c r="S55" s="341" t="s">
        <v>336</v>
      </c>
      <c r="T55" s="341" t="s">
        <v>236</v>
      </c>
      <c r="U55" s="359" t="s">
        <v>231</v>
      </c>
      <c r="V55" s="198" t="s">
        <v>337</v>
      </c>
    </row>
    <row r="56" spans="1:32" ht="34.5" hidden="1" customHeight="1">
      <c r="A56" s="399" t="s">
        <v>40</v>
      </c>
      <c r="B56" s="416">
        <v>3200</v>
      </c>
      <c r="C56" s="417" t="str">
        <f>'Log frame'!J17</f>
        <v>Increased capacity of DINEPA to regulate the sector and OREPA to oversee and support implementation.</v>
      </c>
      <c r="D56" s="405" t="s">
        <v>167</v>
      </c>
      <c r="E56" s="401" t="s">
        <v>343</v>
      </c>
      <c r="F56" s="401" t="s">
        <v>168</v>
      </c>
      <c r="G56" s="400" t="s">
        <v>169</v>
      </c>
      <c r="H56" s="339" t="s">
        <v>227</v>
      </c>
      <c r="I56" s="339" t="str">
        <f t="shared" si="0"/>
        <v>Mattson</v>
      </c>
      <c r="J56" s="401" t="s">
        <v>344</v>
      </c>
      <c r="K56" s="403" t="s">
        <v>345</v>
      </c>
      <c r="L56" s="401" t="s">
        <v>336</v>
      </c>
      <c r="M56" s="326" t="s">
        <v>213</v>
      </c>
      <c r="N56" s="401" t="s">
        <v>236</v>
      </c>
      <c r="O56" s="326" t="s">
        <v>36</v>
      </c>
      <c r="P56" s="326" t="s">
        <v>36</v>
      </c>
      <c r="Q56" s="326" t="s">
        <v>36</v>
      </c>
      <c r="R56" s="326" t="s">
        <v>36</v>
      </c>
      <c r="S56" s="401" t="s">
        <v>270</v>
      </c>
      <c r="T56" s="401" t="s">
        <v>236</v>
      </c>
      <c r="U56" s="358" t="s">
        <v>36</v>
      </c>
      <c r="V56" s="136" t="s">
        <v>346</v>
      </c>
    </row>
    <row r="57" spans="1:32" ht="34.5" hidden="1" customHeight="1" thickBot="1">
      <c r="A57" s="363" t="s">
        <v>16</v>
      </c>
      <c r="B57" s="364">
        <v>3220</v>
      </c>
      <c r="C57" s="365" t="str">
        <f>'Log frame'!J21</f>
        <v>Provide technical assistance and training to DINEPA and the OREPAs.</v>
      </c>
      <c r="D57" s="366" t="s">
        <v>170</v>
      </c>
      <c r="E57" s="366" t="s">
        <v>347</v>
      </c>
      <c r="F57" s="367" t="s">
        <v>171</v>
      </c>
      <c r="G57" s="368" t="s">
        <v>172</v>
      </c>
      <c r="H57" s="368" t="s">
        <v>209</v>
      </c>
      <c r="I57" s="368" t="str">
        <f t="shared" si="0"/>
        <v>Mattson</v>
      </c>
      <c r="J57" s="366" t="s">
        <v>228</v>
      </c>
      <c r="K57" s="369" t="s">
        <v>211</v>
      </c>
      <c r="L57" s="366" t="s">
        <v>279</v>
      </c>
      <c r="M57" s="366" t="s">
        <v>213</v>
      </c>
      <c r="N57" s="370" t="s">
        <v>268</v>
      </c>
      <c r="O57" s="369" t="s">
        <v>215</v>
      </c>
      <c r="P57" s="371"/>
      <c r="Q57" s="371"/>
      <c r="R57" s="370" t="s">
        <v>223</v>
      </c>
      <c r="S57" s="370" t="s">
        <v>217</v>
      </c>
      <c r="T57" s="370" t="s">
        <v>218</v>
      </c>
      <c r="U57" s="372" t="s">
        <v>215</v>
      </c>
      <c r="V57" s="198" t="s">
        <v>240</v>
      </c>
    </row>
  </sheetData>
  <autoFilter ref="A11:N57" xr:uid="{BE8B9DD6-C48E-49B4-B8BB-6D4871740D80}">
    <filterColumn colId="11">
      <filters>
        <filter val="Commune WASH committee"/>
        <filter val="Commune WASH committee &amp; OREPA Focal Points"/>
      </filters>
    </filterColumn>
  </autoFilter>
  <mergeCells count="19">
    <mergeCell ref="A5:C5"/>
    <mergeCell ref="F5:T5"/>
    <mergeCell ref="A1:C1"/>
    <mergeCell ref="A2:C2"/>
    <mergeCell ref="A3:C3"/>
    <mergeCell ref="A4:C4"/>
    <mergeCell ref="F4:T4"/>
    <mergeCell ref="V10:V11"/>
    <mergeCell ref="A6:C6"/>
    <mergeCell ref="F6:T6"/>
    <mergeCell ref="A7:C7"/>
    <mergeCell ref="F7:T7"/>
    <mergeCell ref="A8:C8"/>
    <mergeCell ref="F8:T8"/>
    <mergeCell ref="A10:C10"/>
    <mergeCell ref="D10:J10"/>
    <mergeCell ref="K10:O10"/>
    <mergeCell ref="P10:Q10"/>
    <mergeCell ref="R10:U10"/>
  </mergeCells>
  <hyperlinks>
    <hyperlink ref="K33" r:id="rId1" location="/forms/d97abfe8b83843dcb03c5b1d72e01f93/preview" xr:uid="{41066DDB-DE34-4D46-AAF3-B3B7D99D03F7}"/>
    <hyperlink ref="R21" r:id="rId2" location="/forms/530fe4e5a09f42d0a96cef1b855a5241/preview" display="HANWASH household audit" xr:uid="{C2AD1532-A6BE-41C1-8A9C-2011DA132C9B}"/>
    <hyperlink ref="K40" r:id="rId3" location="/forms/76ba0885e88a4c20b8686aa9204acd30" display="Implementation event tracking form" xr:uid="{A566E8D3-CD9F-47B5-BF7C-99BCDFADA4ED}"/>
    <hyperlink ref="K14" r:id="rId4" location="/forms/76ba0885e88a4c20b8686aa9204acd30" xr:uid="{52CC0CA1-2EB4-4986-BFD6-8E755FF5D526}"/>
    <hyperlink ref="K16" r:id="rId5" location="/forms/76ba0885e88a4c20b8686aa9204acd30" xr:uid="{7FE7930F-C83D-47D4-A587-6DF8FC260BBF}"/>
    <hyperlink ref="K19" r:id="rId6" location="/forms/76ba0885e88a4c20b8686aa9204acd30" xr:uid="{00E51D9E-A6C1-440F-8980-CE923EB48A0B}"/>
    <hyperlink ref="K21" r:id="rId7" location="/forms/fad15f51bbf44bb0bf9c36f08887c2dd" display="Water point survey (type &amp; functionality) + rapid community assessment (HH count)" xr:uid="{63BC43EC-9CCD-4AC6-88F1-B6C72B5BE0FE}"/>
    <hyperlink ref="K23" r:id="rId8" location="/forms/d97abfe8b83843dcb03c5b1d72e01f93/preview" display="SAEP monthly report" xr:uid="{90756042-C8CD-469C-81DA-47882B5284D4}"/>
    <hyperlink ref="K27" r:id="rId9" location="/forms/d97abfe8b83843dcb03c5b1d72e01f93/preview" xr:uid="{73CA5ED6-F5A3-4EF9-AF0E-4C42F023A14A}"/>
    <hyperlink ref="K43" r:id="rId10" location="/forms/802cd40b8ada491eae959778d70597bf" xr:uid="{FE2F9D5A-7A0A-4592-8679-E6398D87EA07}"/>
    <hyperlink ref="K45" r:id="rId11" location="/forms/802cd40b8ada491eae959778d70597bf" xr:uid="{9CFA667D-3895-4600-BFCE-C2AD458EA708}"/>
    <hyperlink ref="K47" r:id="rId12" location="/forms/802cd40b8ada491eae959778d70597bf" xr:uid="{1D8D37F2-BC82-4513-9441-4FA7122B7615}"/>
    <hyperlink ref="K49" r:id="rId13" location="/forms/802cd40b8ada491eae959778d70597bf" xr:uid="{FFAAAE91-DBD0-4CC2-A910-5EB05B5351EC}"/>
    <hyperlink ref="K44" r:id="rId14" location="/forms/b823db9a3c794e3bbfb204540990c2c8" xr:uid="{F74720DA-72FC-4DF0-97F1-F8A9E7AB32D0}"/>
    <hyperlink ref="K46" r:id="rId15" location="/forms/b823db9a3c794e3bbfb204540990c2c8" xr:uid="{CA60C335-ADD5-4644-8C2A-1BCE13B971E9}"/>
    <hyperlink ref="K48" r:id="rId16" location="/forms/b823db9a3c794e3bbfb204540990c2c8" xr:uid="{5C99D0C4-580B-497B-BB37-8E0326EB2D31}"/>
    <hyperlink ref="K50" r:id="rId17" location="/forms/b823db9a3c794e3bbfb204540990c2c8" xr:uid="{83B1C8FC-9C14-4B88-8960-F2ECE4391C8F}"/>
    <hyperlink ref="K32" r:id="rId18" location="/forms/fad15f51bbf44bb0bf9c36f08887c2dd" display="Water point survey (type &amp; functionality) + rapid community assessment (HH count)" xr:uid="{602DF403-D36F-42F7-BA5C-AB20881515A1}"/>
    <hyperlink ref="K57" r:id="rId19" location="/forms/76ba0885e88a4c20b8686aa9204acd30" xr:uid="{B79B84D7-8C99-4910-B4F7-88D7A2E7B9C3}"/>
    <hyperlink ref="P17" r:id="rId20" location="/consoles/818a590d510e40728bc1e969aa98c0db?tab=e4139e54-32f5-49d7-872a-9c40004944f3" xr:uid="{0EB10E0F-E6E5-47C5-BAA1-CF6F71A3AE2D}"/>
    <hyperlink ref="P21" r:id="rId21" location="/forms/fad15f51bbf44bb0bf9c36f08887c2dd" display="Water point survey (type &amp; functionality) + rapid community assessment (HH count)" xr:uid="{7A4FD15C-B18E-40F3-A3B7-8091B9B19892}"/>
    <hyperlink ref="O21" r:id="rId22" location="/consoles/1d080c5b8c154825b446b267319a8288?tab=b96fe26a-1712-43b1-a86b-26e9f7b833b4" xr:uid="{8BAE9D4F-4831-484D-BCBD-7DD9D8BA6E07}"/>
    <hyperlink ref="O17" r:id="rId23" location="/consoles/818a590d510e40728bc1e969aa98c0db?tab=e4139e54-32f5-49d7-872a-9c40004944f3" xr:uid="{7FEDA6E5-3F59-4E68-A22F-AB17E939D0FC}"/>
    <hyperlink ref="O29" r:id="rId24" location="/consoles/1d080c5b8c154825b446b267319a8288?tab=b96fe26a-1712-43b1-a86b-26e9f7b833b4" xr:uid="{071814A3-8591-4029-A95B-319E6F96BE51}"/>
    <hyperlink ref="O30" r:id="rId25" location="/consoles/1d080c5b8c154825b446b267319a8288?tab=b96fe26a-1712-43b1-a86b-26e9f7b833b4" xr:uid="{C073E6D3-38C8-4BA7-8137-41D52A9DBCF2}"/>
    <hyperlink ref="O36" r:id="rId26" location="/consoles/1d080c5b8c154825b446b267319a8288?tab=b96fe26a-1712-43b1-a86b-26e9f7b833b4" xr:uid="{B540EE73-EA67-4CC2-8B48-AB1225B1AC94}"/>
    <hyperlink ref="O43" r:id="rId27" location="/consoles/1d080c5b8c154825b446b267319a8288?tab=b96fe26a-1712-43b1-a86b-26e9f7b833b4" xr:uid="{58E4BEC6-5E88-4113-8048-EB617C25A839}"/>
    <hyperlink ref="O44" r:id="rId28" location="/consoles/1d080c5b8c154825b446b267319a8288?tab=b96fe26a-1712-43b1-a86b-26e9f7b833b4" xr:uid="{4A4D4342-298D-4488-B786-83FE97E47C23}"/>
    <hyperlink ref="O14" r:id="rId29" location="/consoles/1d080c5b8c154825b446b267319a8288?tab=b96fe26a-1712-43b1-a86b-26e9f7b833b4" xr:uid="{3CF987D1-7D8F-4268-A889-636FCD64CA25}"/>
    <hyperlink ref="O16" r:id="rId30" location="/consoles/1d080c5b8c154825b446b267319a8288?tab=b96fe26a-1712-43b1-a86b-26e9f7b833b4" xr:uid="{565F2E65-3AC5-4087-BE26-F0682637566F}"/>
    <hyperlink ref="O18" r:id="rId31" location="/consoles/818a590d510e40728bc1e969aa98c0db?tab=e4139e54-32f5-49d7-872a-9c40004944f3" xr:uid="{EA041357-71D5-44A5-BFB7-EF5EA4DF5E42}"/>
    <hyperlink ref="O19" r:id="rId32" location="/consoles/1d080c5b8c154825b446b267319a8288?tab=b96fe26a-1712-43b1-a86b-26e9f7b833b4" xr:uid="{5F555243-6A9E-4467-8625-1DDE545618EB}"/>
    <hyperlink ref="O23" r:id="rId33" location="/consoles/1d080c5b8c154825b446b267319a8288?tab=b96fe26a-1712-43b1-a86b-26e9f7b833b4" xr:uid="{32B7E3E7-2F4E-4A26-BC30-284F38D5FC87}"/>
    <hyperlink ref="O27" r:id="rId34" location="/consoles/1d080c5b8c154825b446b267319a8288?tab=b96fe26a-1712-43b1-a86b-26e9f7b833b4" xr:uid="{8ED552D6-22F5-453A-8E4A-D4623B2874A3}"/>
    <hyperlink ref="O32" r:id="rId35" location="/consoles/1d080c5b8c154825b446b267319a8288?tab=b96fe26a-1712-43b1-a86b-26e9f7b833b4" xr:uid="{B7D6C4FA-B177-43B9-9392-2953FE56D668}"/>
    <hyperlink ref="O33" r:id="rId36" location="/consoles/1d080c5b8c154825b446b267319a8288?tab=b96fe26a-1712-43b1-a86b-26e9f7b833b4" xr:uid="{28C0405C-7036-4EDB-9751-F8257D728876}"/>
    <hyperlink ref="O37" r:id="rId37" location="/consoles/1d080c5b8c154825b446b267319a8288?tab=b96fe26a-1712-43b1-a86b-26e9f7b833b4" xr:uid="{B07CDC31-82A2-4877-8934-B8AE08E35ECE}"/>
    <hyperlink ref="O40" r:id="rId38" location="/consoles/1d080c5b8c154825b446b267319a8288?tab=b96fe26a-1712-43b1-a86b-26e9f7b833b4" xr:uid="{0959AE22-F030-465F-8679-53C796E759BA}"/>
    <hyperlink ref="O42" r:id="rId39" location="/consoles/1d080c5b8c154825b446b267319a8288?tab=b96fe26a-1712-43b1-a86b-26e9f7b833b4" xr:uid="{D01E984C-5896-44D2-89D8-2051C3DCF6A3}"/>
    <hyperlink ref="O45" r:id="rId40" location="/consoles/1d080c5b8c154825b446b267319a8288?tab=b96fe26a-1712-43b1-a86b-26e9f7b833b4" xr:uid="{3FB69149-7A92-456B-9A2D-8DA2C8AEEE42}"/>
    <hyperlink ref="O46" r:id="rId41" location="/consoles/1d080c5b8c154825b446b267319a8288?tab=b96fe26a-1712-43b1-a86b-26e9f7b833b4" xr:uid="{D49C5C49-78C3-4A4D-92EA-CEE21549AF15}"/>
    <hyperlink ref="O47" r:id="rId42" location="/consoles/1d080c5b8c154825b446b267319a8288?tab=b96fe26a-1712-43b1-a86b-26e9f7b833b4" xr:uid="{7F2702CC-34A1-437F-A621-788BA796D9AD}"/>
    <hyperlink ref="O48" r:id="rId43" location="/consoles/1d080c5b8c154825b446b267319a8288?tab=b96fe26a-1712-43b1-a86b-26e9f7b833b4" xr:uid="{590CFF07-F83B-4219-AC8D-E2D0479EEAB1}"/>
    <hyperlink ref="O49" r:id="rId44" location="/consoles/1d080c5b8c154825b446b267319a8288?tab=b96fe26a-1712-43b1-a86b-26e9f7b833b4" xr:uid="{8E462B5C-A177-4FFA-AB1A-F3E8CC4F65A1}"/>
    <hyperlink ref="O50" r:id="rId45" location="/consoles/1d080c5b8c154825b446b267319a8288?tab=b96fe26a-1712-43b1-a86b-26e9f7b833b4" xr:uid="{C08C8197-100A-4560-9CE7-927758195152}"/>
    <hyperlink ref="O54" r:id="rId46" location="/consoles/818a590d510e40728bc1e969aa98c0db?tab=e4139e54-32f5-49d7-872a-9c40004944f3" xr:uid="{64F84265-48A3-474E-A7D0-C56AA6BB7E75}"/>
    <hyperlink ref="O55" r:id="rId47" location="/consoles/818a590d510e40728bc1e969aa98c0db?tab=e4139e54-32f5-49d7-872a-9c40004944f3" xr:uid="{D71D061A-1E10-4635-AAA2-5005A707D14E}"/>
    <hyperlink ref="O57" r:id="rId48" location="/consoles/1d080c5b8c154825b446b267319a8288?tab=b96fe26a-1712-43b1-a86b-26e9f7b833b4" xr:uid="{36CAA023-4DA3-4867-AFAA-E2BBF053F96B}"/>
    <hyperlink ref="U17" r:id="rId49" location="/consoles/818a590d510e40728bc1e969aa98c0db?tab=e4139e54-32f5-49d7-872a-9c40004944f3" xr:uid="{AEF2B87C-92F4-4237-A9FA-EF2D7C3E61FF}"/>
    <hyperlink ref="U14" r:id="rId50" location="/consoles/1d080c5b8c154825b446b267319a8288?tab=b96fe26a-1712-43b1-a86b-26e9f7b833b4" xr:uid="{406DAEAB-0AE2-498E-9C3E-C6003EF4B0F7}"/>
    <hyperlink ref="U16" r:id="rId51" location="/consoles/1d080c5b8c154825b446b267319a8288?tab=b96fe26a-1712-43b1-a86b-26e9f7b833b4" xr:uid="{5025C4D8-282C-4A49-BDFB-E854F816E7FB}"/>
    <hyperlink ref="U18" r:id="rId52" location="/consoles/818a590d510e40728bc1e969aa98c0db?tab=e4139e54-32f5-49d7-872a-9c40004944f3" xr:uid="{740B80E0-E80B-42CA-9DE9-0E4A0DE8E2F1}"/>
    <hyperlink ref="R29" r:id="rId53" location="/forms/530fe4e5a09f42d0a96cef1b855a5241/preview" xr:uid="{E645246E-DB6B-4FCE-ADAC-641A246F4AB9}"/>
    <hyperlink ref="R30" r:id="rId54" location="/forms/530fe4e5a09f42d0a96cef1b855a5241/preview" xr:uid="{281A7804-6912-49CF-83AA-7472D0C5EE09}"/>
    <hyperlink ref="R36" r:id="rId55" location="/forms/530fe4e5a09f42d0a96cef1b855a5241/preview" xr:uid="{F4C7FFFA-6EA2-4C6B-B61C-A5BD9F760AB3}"/>
    <hyperlink ref="R43" r:id="rId56" location="/forms/802cd40b8ada491eae959778d70597bf" xr:uid="{BDC98C60-05A6-45FA-947A-A9E01CA278CA}"/>
    <hyperlink ref="R44" r:id="rId57" location="/forms/b823db9a3c794e3bbfb204540990c2c8" xr:uid="{4C1CDF8E-3142-4748-8B75-51ACDAC9C4B6}"/>
    <hyperlink ref="U23" r:id="rId58" location="/consoles/1d080c5b8c154825b446b267319a8288?tab=b96fe26a-1712-43b1-a86b-26e9f7b833b4" xr:uid="{FE93295F-8E70-4B46-BA19-DD3A4C41C257}"/>
    <hyperlink ref="U27" r:id="rId59" location="/consoles/1d080c5b8c154825b446b267319a8288?tab=b96fe26a-1712-43b1-a86b-26e9f7b833b4" xr:uid="{E311A0CC-25AA-4EDF-A18B-E955081A30EC}"/>
    <hyperlink ref="R32" r:id="rId60" location="/forms/530fe4e5a09f42d0a96cef1b855a5241/preview" xr:uid="{6B26CFBB-96F7-4075-9DA0-310D47E4CFA0}"/>
    <hyperlink ref="R33" r:id="rId61" location="/forms/530fe4e5a09f42d0a96cef1b855a5241/preview" xr:uid="{18825D5E-BE4F-4F39-B81F-0EF1344B9AAF}"/>
    <hyperlink ref="R37" r:id="rId62" location="/forms/530fe4e5a09f42d0a96cef1b855a5241/preview" xr:uid="{559F9D36-BA33-4318-8D2A-900C4A9A05EB}"/>
    <hyperlink ref="U40" r:id="rId63" location="/consoles/1d080c5b8c154825b446b267319a8288?tab=b96fe26a-1712-43b1-a86b-26e9f7b833b4" xr:uid="{90018E1B-703F-42F9-97E1-8040ED2FBA97}"/>
    <hyperlink ref="U42" r:id="rId64" location="/consoles/1d080c5b8c154825b446b267319a8288?tab=b96fe26a-1712-43b1-a86b-26e9f7b833b4" xr:uid="{7C746CCD-1E72-475C-991D-6079F96BE2BC}"/>
    <hyperlink ref="R45" r:id="rId65" location="/forms/802cd40b8ada491eae959778d70597bf" xr:uid="{5E4E733F-9B2C-4D97-B608-FFC436D5EE20}"/>
    <hyperlink ref="R47" r:id="rId66" location="/forms/802cd40b8ada491eae959778d70597bf" xr:uid="{B84BACFD-C035-4725-A279-C25E0F7739E6}"/>
    <hyperlink ref="R49" r:id="rId67" location="/forms/802cd40b8ada491eae959778d70597bf" xr:uid="{071A81AA-01DE-478E-9C12-C911EAFFC731}"/>
    <hyperlink ref="R46" r:id="rId68" location="/forms/b823db9a3c794e3bbfb204540990c2c8" xr:uid="{BAC16027-81D1-4CD2-BCF2-08BEECDD780F}"/>
    <hyperlink ref="R48" r:id="rId69" location="/forms/b823db9a3c794e3bbfb204540990c2c8" xr:uid="{42D918F3-99D5-4102-8801-A74CC314E4E3}"/>
    <hyperlink ref="R50" r:id="rId70" location="/forms/b823db9a3c794e3bbfb204540990c2c8" xr:uid="{8F4F34D0-031C-4A58-A4FB-744F34F8BA82}"/>
    <hyperlink ref="U52" r:id="rId71" location="/consoles/818a590d510e40728bc1e969aa98c0db?tab=e4139e54-32f5-49d7-872a-9c40004944f3" xr:uid="{E1DBE8E5-E304-433B-BCE1-7269AD343945}"/>
    <hyperlink ref="U54" r:id="rId72" location="/consoles/818a590d510e40728bc1e969aa98c0db?tab=e4139e54-32f5-49d7-872a-9c40004944f3" xr:uid="{B8EA680F-4F6E-4133-BB10-A6A21F0F5BE1}"/>
    <hyperlink ref="U55" r:id="rId73" location="/consoles/818a590d510e40728bc1e969aa98c0db?tab=e4139e54-32f5-49d7-872a-9c40004944f3" xr:uid="{2A3B2AB4-65C3-4167-A436-7EA8099345B5}"/>
    <hyperlink ref="U57" r:id="rId74" location="/consoles/1d080c5b8c154825b446b267319a8288?tab=b96fe26a-1712-43b1-a86b-26e9f7b833b4" xr:uid="{36DABBC9-2539-43A1-90DA-51F5777A3D1E}"/>
    <hyperlink ref="U19" r:id="rId75" location="/consoles/1d080c5b8c154825b446b267319a8288?tab=b96fe26a-1712-43b1-a86b-26e9f7b833b4" xr:uid="{50EE128D-6996-42BD-8BC2-A9818327EC72}"/>
    <hyperlink ref="A5" r:id="rId76" xr:uid="{2E47BFA7-D2E6-403A-A667-2E5472A16335}"/>
    <hyperlink ref="O38" r:id="rId77" location="/consoles/1d080c5b8c154825b446b267319a8288?tab=b96fe26a-1712-43b1-a86b-26e9f7b833b4" xr:uid="{F576F64B-A929-4EC0-888A-C5918C1FE072}"/>
    <hyperlink ref="R38" r:id="rId78" location="/forms/530fe4e5a09f42d0a96cef1b855a5241/preview" xr:uid="{115A1547-F7F8-4640-A81C-F00C47125A65}"/>
    <hyperlink ref="K35" r:id="rId79" location="/forms/e045ce2509964909bed52a842b28dffd" display="ODF verification and certification" xr:uid="{FEC47F5B-B22F-45BC-A0FF-777519BE1A37}"/>
    <hyperlink ref="O35" r:id="rId80" location="/consoles/1d080c5b8c154825b446b267319a8288?tab=b96fe26a-1712-43b1-a86b-26e9f7b833b4" xr:uid="{8806DAAC-897E-4B6F-8477-FF09A318DFE0}"/>
    <hyperlink ref="R35" r:id="rId81" location="/forms/530fe4e5a09f42d0a96cef1b855a5241/preview" xr:uid="{F73B19EB-4020-4BC0-A514-5C16B2D48287}"/>
    <hyperlink ref="O34" r:id="rId82" location="/consoles/1d080c5b8c154825b446b267319a8288?tab=b96fe26a-1712-43b1-a86b-26e9f7b833b4" xr:uid="{DF2105C4-91A4-4323-B3EF-51E24E32FE52}"/>
    <hyperlink ref="R34" r:id="rId83" location="/forms/530fe4e5a09f42d0a96cef1b855a5241/preview" xr:uid="{691E4C76-2A87-41FD-A222-03E1AC67F3A2}"/>
    <hyperlink ref="O39" r:id="rId84" location="/consoles/1d080c5b8c154825b446b267319a8288?tab=b96fe26a-1712-43b1-a86b-26e9f7b833b4" xr:uid="{E0610EC8-DD4B-4DE1-BE18-37FE7BEF14CA}"/>
    <hyperlink ref="R39" r:id="rId85" location="/forms/530fe4e5a09f42d0a96cef1b855a5241/preview" xr:uid="{E19F6269-435C-4B41-892A-461106568786}"/>
    <hyperlink ref="K34" r:id="rId86" location="/forms/2bd65fbd2daf4064ac60694210797595" display="Rapid community assessment" xr:uid="{6EBD8D7E-CD27-48C6-B918-636377A39BC4}"/>
    <hyperlink ref="K39" r:id="rId87" location="/forms/530fe4e5a09f42d0a96cef1b855a5241/preview" xr:uid="{688FEFC1-FFBC-4F2E-B0C3-83A49C16D5C7}"/>
    <hyperlink ref="K36" r:id="rId88" location="/forms/530fe4e5a09f42d0a96cef1b855a5241/preview" xr:uid="{9E6725F3-01EE-4FE8-98C4-816A6744F195}"/>
    <hyperlink ref="K30" r:id="rId89" location="/forms/530fe4e5a09f42d0a96cef1b855a5241/preview" xr:uid="{9142B02F-17AD-4E1A-A817-E86B12441C0F}"/>
    <hyperlink ref="K29" r:id="rId90" location="/forms/530fe4e5a09f42d0a96cef1b855a5241/preview" xr:uid="{10372E85-E344-48FE-BF41-ED77067BD855}"/>
    <hyperlink ref="K37" r:id="rId91" location="/forms/530fe4e5a09f42d0a96cef1b855a5241/preview" xr:uid="{45EA8615-C465-4656-BF62-8E40548C8995}"/>
    <hyperlink ref="K42" r:id="rId92" location="/forms/e045ce2509964909bed52a842b28dffd" display="ODF verification and certification" xr:uid="{10BF4853-1499-42FA-87CF-A943707A9CB3}"/>
    <hyperlink ref="O20" r:id="rId93" location="/consoles/1d080c5b8c154825b446b267319a8288?tab=b96fe26a-1712-43b1-a86b-26e9f7b833b4" xr:uid="{90176FD0-9F16-485E-8CC1-20972A8AA576}"/>
    <hyperlink ref="R20" r:id="rId94" location="/forms/530fe4e5a09f42d0a96cef1b855a5241/preview" display="HANWASH household audit" xr:uid="{8E95B824-E6C0-40CE-ACB9-A9465F8BD04C}"/>
    <hyperlink ref="K31" r:id="rId95" location="/forms/fad15f51bbf44bb0bf9c36f08887c2dd" display="Water point survey (type &amp; functionality) + rapid community assessment (HH count)" xr:uid="{842AD33A-A4E7-4C81-BA09-54EDAF36A1D0}"/>
    <hyperlink ref="O31" r:id="rId96" location="/consoles/1d080c5b8c154825b446b267319a8288?tab=b96fe26a-1712-43b1-a86b-26e9f7b833b4" xr:uid="{850DEB00-F663-45D8-82DC-20AB4429F5C7}"/>
    <hyperlink ref="R31" r:id="rId97" location="/forms/530fe4e5a09f42d0a96cef1b855a5241/preview" display="HANWASH household audit" xr:uid="{33BF5624-E7C8-44A0-923E-6017EB9267DF}"/>
    <hyperlink ref="K56" r:id="rId98" location="/tables/ts109/t6" xr:uid="{50C7AA00-D0A2-4694-9540-A799FD61BFB0}"/>
    <hyperlink ref="O53" r:id="rId99" location="/consoles/818a590d510e40728bc1e969aa98c0db?tab=e4139e54-32f5-49d7-872a-9c40004944f3" xr:uid="{A5312836-8D41-473F-9F5C-AA22F45ADBF8}"/>
    <hyperlink ref="O52" r:id="rId100" location="/consoles/818a590d510e40728bc1e969aa98c0db?tab=e4139e54-32f5-49d7-872a-9c40004944f3" xr:uid="{3C374F81-3A78-4002-AE10-AAF09DE0C63E}"/>
    <hyperlink ref="K22" r:id="rId101" location="/forms/fad15f51bbf44bb0bf9c36f08887c2dd" display="Water point survey (type &amp; functionality) + rapid community assessment (HH count)" xr:uid="{8CA89DB7-5013-4576-9EE0-4F729C1B00AA}"/>
    <hyperlink ref="O22" r:id="rId102" location="/consoles/1d080c5b8c154825b446b267319a8288?tab=b96fe26a-1712-43b1-a86b-26e9f7b833b4" xr:uid="{D581A824-DBB4-4E5F-A8CE-819A7F3E07E7}"/>
    <hyperlink ref="P22" r:id="rId103" location="/forms/530fe4e5a09f42d0a96cef1b855a5241/preview" display="HANWASH household audit" xr:uid="{FC68E6B5-1401-47B1-AD22-06390E66B937}"/>
    <hyperlink ref="K15" r:id="rId104" location="/forms/76ba0885e88a4c20b8686aa9204acd30" xr:uid="{A0EA23CC-EF0C-47E8-A83B-43D1187E786E}"/>
    <hyperlink ref="O15" r:id="rId105" location="/consoles/1d080c5b8c154825b446b267319a8288?tab=b96fe26a-1712-43b1-a86b-26e9f7b833b4" xr:uid="{287F3C22-A8F9-4531-BB67-E536B6366CD0}"/>
    <hyperlink ref="K41" r:id="rId106" location="/forms/76ba0885e88a4c20b8686aa9204acd30" display="Implementation event tracking form" xr:uid="{AD7A5AD9-66FF-4035-B803-B3B1370C0939}"/>
    <hyperlink ref="O41" r:id="rId107" location="/consoles/1d080c5b8c154825b446b267319a8288?tab=b96fe26a-1712-43b1-a86b-26e9f7b833b4" xr:uid="{BA209B90-9F80-4835-B809-A5205241F544}"/>
    <hyperlink ref="U41" r:id="rId108" location="/consoles/1d080c5b8c154825b446b267319a8288?tab=b96fe26a-1712-43b1-a86b-26e9f7b833b4" xr:uid="{1E2F9C30-EDA8-4398-8E80-6CBDAFC9176D}"/>
    <hyperlink ref="K24" r:id="rId109" location="/forms/d97abfe8b83843dcb03c5b1d72e01f93/preview" display="SAEP monthly report" xr:uid="{B0629E94-09E6-4236-896A-6D797DCC0D3C}"/>
    <hyperlink ref="O24" r:id="rId110" location="/consoles/1d080c5b8c154825b446b267319a8288?tab=b96fe26a-1712-43b1-a86b-26e9f7b833b4" xr:uid="{4A4C1754-62A2-4414-ABFA-D70D7473EA15}"/>
    <hyperlink ref="U24" r:id="rId111" location="/consoles/1d080c5b8c154825b446b267319a8288?tab=b96fe26a-1712-43b1-a86b-26e9f7b833b4" xr:uid="{9584A60F-9E0C-47A4-AB5D-3490A6926FD3}"/>
  </hyperlinks>
  <pageMargins left="0.7" right="0.7" top="0.75" bottom="0.75" header="0.3" footer="0.3"/>
  <pageSetup fitToWidth="0" orientation="portrait"/>
  <legacyDrawing r:id="rId11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E349B-CFDC-43C0-B7AB-C3EB710EAD96}">
  <sheetPr filterMode="1">
    <pageSetUpPr fitToPage="1"/>
  </sheetPr>
  <dimension ref="A1:AF57"/>
  <sheetViews>
    <sheetView topLeftCell="A8" zoomScale="88" zoomScaleNormal="88" workbookViewId="0">
      <selection activeCell="N55" sqref="N55"/>
    </sheetView>
  </sheetViews>
  <sheetFormatPr defaultColWidth="11" defaultRowHeight="15.75" customHeight="1"/>
  <cols>
    <col min="1" max="1" width="19.375" style="20" customWidth="1"/>
    <col min="2" max="2" width="7.375" style="7" customWidth="1"/>
    <col min="3" max="3" width="52.125" style="43" customWidth="1"/>
    <col min="4" max="4" width="12.75" style="8" bestFit="1" customWidth="1"/>
    <col min="5" max="5" width="71.125" style="7" customWidth="1"/>
    <col min="6" max="6" width="71.5" style="7" customWidth="1"/>
    <col min="7" max="7" width="17.625" customWidth="1"/>
    <col min="8" max="9" width="11.875" style="7" hidden="1" customWidth="1"/>
    <col min="10" max="10" width="18.625" style="20" customWidth="1"/>
    <col min="11" max="11" width="15" style="20" customWidth="1"/>
    <col min="12" max="12" width="12.25" style="20" customWidth="1"/>
    <col min="13" max="13" width="18.25" style="20" hidden="1" customWidth="1"/>
    <col min="14" max="14" width="18.625" style="20" customWidth="1"/>
    <col min="15" max="15" width="15.5" style="20" hidden="1" customWidth="1"/>
    <col min="16" max="17" width="26.625" hidden="1" customWidth="1"/>
    <col min="18" max="18" width="22.125" style="20" hidden="1" customWidth="1"/>
    <col min="19" max="19" width="21.125" style="20" customWidth="1"/>
    <col min="20" max="20" width="18.125" style="20" customWidth="1"/>
    <col min="21" max="21" width="20" style="20" hidden="1" customWidth="1"/>
    <col min="22" max="22" width="87" style="20" hidden="1" customWidth="1"/>
  </cols>
  <sheetData>
    <row r="1" spans="1:22" ht="15.6">
      <c r="A1" s="456" t="s">
        <v>173</v>
      </c>
      <c r="B1" s="456"/>
      <c r="C1" s="456"/>
      <c r="E1" s="74" t="s">
        <v>174</v>
      </c>
      <c r="F1" s="75"/>
      <c r="G1" s="75"/>
      <c r="H1" s="75"/>
      <c r="I1" s="75"/>
      <c r="J1" s="80"/>
      <c r="K1" s="80"/>
      <c r="L1" s="80"/>
      <c r="M1" s="80"/>
      <c r="N1" s="80"/>
      <c r="O1" s="80"/>
      <c r="P1" s="81"/>
      <c r="Q1" s="81"/>
      <c r="R1" s="80"/>
    </row>
    <row r="2" spans="1:22" ht="15.6">
      <c r="A2" s="457" t="s">
        <v>175</v>
      </c>
      <c r="B2" s="457"/>
      <c r="C2" s="457"/>
      <c r="E2" s="94" t="s">
        <v>176</v>
      </c>
      <c r="F2" s="77" t="str">
        <f>"'-' Not applicable"</f>
        <v>'-' Not applicable</v>
      </c>
    </row>
    <row r="3" spans="1:22" ht="15.95" thickBot="1">
      <c r="A3" s="456" t="s">
        <v>177</v>
      </c>
      <c r="B3" s="456"/>
      <c r="C3" s="456"/>
      <c r="E3" s="72"/>
      <c r="F3" s="73"/>
      <c r="G3" s="78"/>
      <c r="H3" s="73"/>
      <c r="I3" s="73"/>
      <c r="J3" s="79"/>
      <c r="K3" s="79"/>
      <c r="L3" s="79"/>
      <c r="M3" s="79"/>
      <c r="N3" s="79"/>
      <c r="O3" s="79"/>
      <c r="P3" s="78"/>
      <c r="Q3" s="78"/>
      <c r="R3" s="79"/>
      <c r="S3" s="79"/>
      <c r="T3" s="79"/>
    </row>
    <row r="4" spans="1:22" ht="15.6">
      <c r="A4" s="445" t="s">
        <v>178</v>
      </c>
      <c r="B4" s="445"/>
      <c r="C4" s="445"/>
      <c r="E4" s="76" t="s">
        <v>179</v>
      </c>
      <c r="F4" s="456" t="s">
        <v>9</v>
      </c>
      <c r="G4" s="456"/>
      <c r="H4" s="456"/>
      <c r="I4" s="456"/>
      <c r="J4" s="456"/>
      <c r="K4" s="458"/>
      <c r="L4" s="458"/>
      <c r="M4" s="458"/>
      <c r="N4" s="456"/>
      <c r="O4" s="458"/>
      <c r="P4" s="456"/>
      <c r="Q4" s="456"/>
      <c r="R4" s="458"/>
      <c r="S4" s="458"/>
      <c r="T4" s="458"/>
    </row>
    <row r="5" spans="1:22" ht="15.6">
      <c r="A5" s="455" t="s">
        <v>180</v>
      </c>
      <c r="B5" s="455"/>
      <c r="C5" s="455"/>
      <c r="E5" s="387" t="s">
        <v>10</v>
      </c>
      <c r="F5" s="445" t="s">
        <v>181</v>
      </c>
      <c r="G5" s="445"/>
      <c r="H5" s="445"/>
      <c r="I5" s="445"/>
      <c r="J5" s="445"/>
      <c r="K5" s="445"/>
      <c r="L5" s="445"/>
      <c r="M5" s="445"/>
      <c r="N5" s="445"/>
      <c r="O5" s="445"/>
      <c r="P5" s="445"/>
      <c r="Q5" s="445"/>
      <c r="R5" s="445"/>
      <c r="S5" s="445"/>
      <c r="T5" s="445"/>
    </row>
    <row r="6" spans="1:22" ht="15.6">
      <c r="A6" s="444" t="s">
        <v>182</v>
      </c>
      <c r="B6" s="445"/>
      <c r="C6" s="445"/>
      <c r="E6" s="388" t="s">
        <v>37</v>
      </c>
      <c r="F6" s="445" t="s">
        <v>183</v>
      </c>
      <c r="G6" s="445"/>
      <c r="H6" s="445"/>
      <c r="I6" s="445"/>
      <c r="J6" s="445"/>
      <c r="K6" s="446"/>
      <c r="L6" s="446"/>
      <c r="M6" s="446"/>
      <c r="N6" s="445"/>
      <c r="O6" s="446"/>
      <c r="P6" s="445"/>
      <c r="Q6" s="445"/>
      <c r="R6" s="446"/>
      <c r="S6" s="446"/>
      <c r="T6" s="446"/>
    </row>
    <row r="7" spans="1:22" ht="15.6">
      <c r="A7" s="444" t="s">
        <v>184</v>
      </c>
      <c r="B7" s="445"/>
      <c r="C7" s="445"/>
      <c r="E7" s="389" t="s">
        <v>40</v>
      </c>
      <c r="F7" s="445" t="s">
        <v>185</v>
      </c>
      <c r="G7" s="445"/>
      <c r="H7" s="445"/>
      <c r="I7" s="445"/>
      <c r="J7" s="445"/>
      <c r="K7" s="446"/>
      <c r="L7" s="446"/>
      <c r="M7" s="446"/>
      <c r="N7" s="445"/>
      <c r="O7" s="446"/>
      <c r="P7" s="445"/>
      <c r="Q7" s="445"/>
      <c r="R7" s="446"/>
      <c r="S7" s="446"/>
      <c r="T7" s="446"/>
    </row>
    <row r="8" spans="1:22" ht="38.25" customHeight="1">
      <c r="A8" s="447" t="s">
        <v>186</v>
      </c>
      <c r="B8" s="447"/>
      <c r="C8" s="447"/>
      <c r="E8" s="4" t="s">
        <v>187</v>
      </c>
      <c r="F8" s="448" t="s">
        <v>188</v>
      </c>
      <c r="G8" s="448"/>
      <c r="H8" s="448"/>
      <c r="I8" s="448"/>
      <c r="J8" s="448"/>
      <c r="K8" s="449"/>
      <c r="L8" s="449"/>
      <c r="M8" s="449"/>
      <c r="N8" s="448"/>
      <c r="O8" s="449"/>
      <c r="P8" s="448"/>
      <c r="Q8" s="448"/>
      <c r="R8" s="449"/>
      <c r="S8" s="449"/>
      <c r="T8" s="449"/>
    </row>
    <row r="9" spans="1:22" ht="15.75" customHeight="1" thickBot="1"/>
    <row r="10" spans="1:22" ht="15.95" customHeight="1">
      <c r="A10" s="450" t="s">
        <v>189</v>
      </c>
      <c r="B10" s="451"/>
      <c r="C10" s="451"/>
      <c r="D10" s="452" t="s">
        <v>28</v>
      </c>
      <c r="E10" s="452"/>
      <c r="F10" s="452"/>
      <c r="G10" s="452"/>
      <c r="H10" s="452"/>
      <c r="I10" s="452"/>
      <c r="J10" s="452"/>
      <c r="K10" s="452" t="s">
        <v>190</v>
      </c>
      <c r="L10" s="452"/>
      <c r="M10" s="452"/>
      <c r="N10" s="453"/>
      <c r="O10" s="452"/>
      <c r="P10" s="453" t="s">
        <v>191</v>
      </c>
      <c r="Q10" s="453"/>
      <c r="R10" s="452" t="s">
        <v>192</v>
      </c>
      <c r="S10" s="452"/>
      <c r="T10" s="452"/>
      <c r="U10" s="454"/>
      <c r="V10" s="442" t="s">
        <v>193</v>
      </c>
    </row>
    <row r="11" spans="1:22" ht="15.6">
      <c r="A11" s="355" t="s">
        <v>8</v>
      </c>
      <c r="B11" s="337" t="s">
        <v>194</v>
      </c>
      <c r="C11" s="337" t="s">
        <v>9</v>
      </c>
      <c r="D11" s="324" t="s">
        <v>195</v>
      </c>
      <c r="E11" s="338" t="s">
        <v>9</v>
      </c>
      <c r="F11" s="338" t="s">
        <v>29</v>
      </c>
      <c r="G11" s="324" t="s">
        <v>30</v>
      </c>
      <c r="H11" s="338" t="s">
        <v>196</v>
      </c>
      <c r="I11" s="338" t="s">
        <v>197</v>
      </c>
      <c r="J11" s="338" t="s">
        <v>198</v>
      </c>
      <c r="K11" s="324" t="s">
        <v>199</v>
      </c>
      <c r="L11" s="324" t="s">
        <v>200</v>
      </c>
      <c r="M11" s="324" t="s">
        <v>201</v>
      </c>
      <c r="N11" s="324" t="s">
        <v>202</v>
      </c>
      <c r="O11" s="324" t="s">
        <v>203</v>
      </c>
      <c r="P11" s="325" t="s">
        <v>204</v>
      </c>
      <c r="Q11" s="325" t="s">
        <v>190</v>
      </c>
      <c r="R11" s="324" t="s">
        <v>199</v>
      </c>
      <c r="S11" s="324" t="s">
        <v>205</v>
      </c>
      <c r="T11" s="324" t="s">
        <v>206</v>
      </c>
      <c r="U11" s="356" t="s">
        <v>203</v>
      </c>
      <c r="V11" s="443"/>
    </row>
    <row r="12" spans="1:22" ht="34.5" hidden="1" customHeight="1">
      <c r="A12" s="390" t="s">
        <v>10</v>
      </c>
      <c r="B12" s="391">
        <v>1</v>
      </c>
      <c r="C12" s="392" t="str">
        <f>'Log frame'!B13</f>
        <v>Increased access to safe, sustainable and affordable water, sanitation and hygiene (WASH) services in Haiti​.</v>
      </c>
      <c r="D12" s="392" t="s">
        <v>36</v>
      </c>
      <c r="E12" s="392" t="s">
        <v>36</v>
      </c>
      <c r="F12" s="392" t="s">
        <v>36</v>
      </c>
      <c r="G12" s="392" t="s">
        <v>36</v>
      </c>
      <c r="H12" s="326" t="s">
        <v>36</v>
      </c>
      <c r="I12" s="326" t="str">
        <f>"Mattson"</f>
        <v>Mattson</v>
      </c>
      <c r="J12" s="392" t="s">
        <v>36</v>
      </c>
      <c r="K12" s="392" t="s">
        <v>36</v>
      </c>
      <c r="L12" s="392" t="s">
        <v>36</v>
      </c>
      <c r="M12" s="326"/>
      <c r="N12" s="392" t="s">
        <v>36</v>
      </c>
      <c r="O12" s="326" t="s">
        <v>36</v>
      </c>
      <c r="P12" s="326" t="s">
        <v>36</v>
      </c>
      <c r="Q12" s="326" t="s">
        <v>36</v>
      </c>
      <c r="R12" s="326" t="s">
        <v>36</v>
      </c>
      <c r="S12" s="392" t="s">
        <v>36</v>
      </c>
      <c r="T12" s="392" t="s">
        <v>36</v>
      </c>
      <c r="U12" s="358" t="s">
        <v>36</v>
      </c>
      <c r="V12" s="136" t="s">
        <v>207</v>
      </c>
    </row>
    <row r="13" spans="1:22" ht="34.5" hidden="1" customHeight="1">
      <c r="A13" s="393" t="s">
        <v>37</v>
      </c>
      <c r="B13" s="394">
        <v>1000</v>
      </c>
      <c r="C13" s="395" t="str">
        <f>'Log frame'!B15</f>
        <v>Strengthened demand for and management of WASH services in communes.</v>
      </c>
      <c r="D13" s="395" t="s">
        <v>36</v>
      </c>
      <c r="E13" s="395" t="s">
        <v>36</v>
      </c>
      <c r="F13" s="395" t="s">
        <v>36</v>
      </c>
      <c r="G13" s="395" t="s">
        <v>36</v>
      </c>
      <c r="H13" s="326" t="s">
        <v>36</v>
      </c>
      <c r="I13" s="326" t="str">
        <f t="shared" ref="I13:I57" si="0">"Mattson"</f>
        <v>Mattson</v>
      </c>
      <c r="J13" s="395" t="s">
        <v>36</v>
      </c>
      <c r="K13" s="395" t="s">
        <v>36</v>
      </c>
      <c r="L13" s="395" t="s">
        <v>36</v>
      </c>
      <c r="M13" s="326"/>
      <c r="N13" s="395" t="s">
        <v>36</v>
      </c>
      <c r="O13" s="326" t="s">
        <v>36</v>
      </c>
      <c r="P13" s="326" t="s">
        <v>36</v>
      </c>
      <c r="Q13" s="326" t="s">
        <v>36</v>
      </c>
      <c r="R13" s="326" t="s">
        <v>36</v>
      </c>
      <c r="S13" s="395" t="s">
        <v>36</v>
      </c>
      <c r="T13" s="395" t="s">
        <v>36</v>
      </c>
      <c r="U13" s="358" t="s">
        <v>36</v>
      </c>
      <c r="V13" s="136" t="s">
        <v>207</v>
      </c>
    </row>
    <row r="14" spans="1:22" ht="34.5" hidden="1" customHeight="1">
      <c r="A14" s="399" t="s">
        <v>40</v>
      </c>
      <c r="B14" s="400">
        <v>1100</v>
      </c>
      <c r="C14" s="401" t="str">
        <f>'Log frame'!B17</f>
        <v>Increased civil society engagement in decision making and implementation of WASH services.</v>
      </c>
      <c r="D14" s="402" t="s">
        <v>39</v>
      </c>
      <c r="E14" s="401" t="s">
        <v>208</v>
      </c>
      <c r="F14" s="401" t="s">
        <v>42</v>
      </c>
      <c r="G14" s="401" t="s">
        <v>43</v>
      </c>
      <c r="H14" s="326" t="s">
        <v>209</v>
      </c>
      <c r="I14" s="326" t="str">
        <f t="shared" si="0"/>
        <v>Mattson</v>
      </c>
      <c r="J14" s="401" t="s">
        <v>210</v>
      </c>
      <c r="K14" s="403" t="s">
        <v>211</v>
      </c>
      <c r="L14" s="404" t="s">
        <v>212</v>
      </c>
      <c r="M14" s="341" t="s">
        <v>213</v>
      </c>
      <c r="N14" s="405" t="s">
        <v>214</v>
      </c>
      <c r="O14" s="333" t="s">
        <v>215</v>
      </c>
      <c r="P14" s="294"/>
      <c r="Q14" s="294"/>
      <c r="R14" s="341" t="s">
        <v>216</v>
      </c>
      <c r="S14" s="404" t="s">
        <v>217</v>
      </c>
      <c r="T14" s="404" t="s">
        <v>218</v>
      </c>
      <c r="U14" s="359" t="s">
        <v>215</v>
      </c>
      <c r="V14" s="334" t="s">
        <v>219</v>
      </c>
    </row>
    <row r="15" spans="1:22" ht="34.5" hidden="1" customHeight="1">
      <c r="A15" s="399" t="s">
        <v>40</v>
      </c>
      <c r="B15" s="400">
        <v>1100</v>
      </c>
      <c r="C15" s="401" t="s">
        <v>41</v>
      </c>
      <c r="D15" s="402" t="s">
        <v>44</v>
      </c>
      <c r="E15" s="401" t="s">
        <v>220</v>
      </c>
      <c r="F15" s="401" t="s">
        <v>45</v>
      </c>
      <c r="G15" s="401" t="s">
        <v>46</v>
      </c>
      <c r="H15" s="326" t="s">
        <v>221</v>
      </c>
      <c r="I15" s="326" t="s">
        <v>222</v>
      </c>
      <c r="J15" s="401" t="s">
        <v>210</v>
      </c>
      <c r="K15" s="403" t="s">
        <v>211</v>
      </c>
      <c r="L15" s="404" t="s">
        <v>212</v>
      </c>
      <c r="M15" s="341" t="s">
        <v>213</v>
      </c>
      <c r="N15" s="405" t="s">
        <v>214</v>
      </c>
      <c r="O15" s="333" t="s">
        <v>215</v>
      </c>
      <c r="P15" s="341" t="s">
        <v>223</v>
      </c>
      <c r="Q15" s="341" t="s">
        <v>217</v>
      </c>
      <c r="R15" s="341" t="s">
        <v>224</v>
      </c>
      <c r="S15" s="404" t="s">
        <v>217</v>
      </c>
      <c r="T15" s="404" t="s">
        <v>218</v>
      </c>
      <c r="U15" s="360" t="s">
        <v>215</v>
      </c>
      <c r="V15" s="335"/>
    </row>
    <row r="16" spans="1:22" ht="48.6" hidden="1" customHeight="1">
      <c r="A16" s="357" t="s">
        <v>16</v>
      </c>
      <c r="B16" s="339">
        <v>1110</v>
      </c>
      <c r="C16" s="342" t="s">
        <v>48</v>
      </c>
      <c r="D16" s="340" t="s">
        <v>47</v>
      </c>
      <c r="E16" s="326" t="s">
        <v>225</v>
      </c>
      <c r="F16" s="326" t="s">
        <v>49</v>
      </c>
      <c r="G16" s="330" t="s">
        <v>50</v>
      </c>
      <c r="H16" s="326" t="s">
        <v>209</v>
      </c>
      <c r="I16" s="326" t="str">
        <f t="shared" si="0"/>
        <v>Mattson</v>
      </c>
      <c r="J16" s="326" t="s">
        <v>210</v>
      </c>
      <c r="K16" s="333" t="s">
        <v>211</v>
      </c>
      <c r="L16" s="343" t="s">
        <v>212</v>
      </c>
      <c r="M16" s="343" t="s">
        <v>213</v>
      </c>
      <c r="N16" s="330" t="s">
        <v>214</v>
      </c>
      <c r="O16" s="333" t="s">
        <v>215</v>
      </c>
      <c r="P16" s="294"/>
      <c r="Q16" s="294"/>
      <c r="R16" s="329" t="s">
        <v>223</v>
      </c>
      <c r="S16" s="341" t="s">
        <v>217</v>
      </c>
      <c r="T16" s="341" t="s">
        <v>218</v>
      </c>
      <c r="U16" s="359" t="s">
        <v>215</v>
      </c>
      <c r="V16" s="336" t="s">
        <v>219</v>
      </c>
    </row>
    <row r="17" spans="1:22" ht="34.5" hidden="1" customHeight="1">
      <c r="A17" s="399" t="s">
        <v>40</v>
      </c>
      <c r="B17" s="401">
        <v>1200</v>
      </c>
      <c r="C17" s="402" t="str">
        <f>'Log frame'!C17</f>
        <v>Improved commune WASH planning and coordination by local authorities.​</v>
      </c>
      <c r="D17" s="402" t="s">
        <v>51</v>
      </c>
      <c r="E17" s="401" t="s">
        <v>226</v>
      </c>
      <c r="F17" s="401" t="s">
        <v>53</v>
      </c>
      <c r="G17" s="401" t="s">
        <v>54</v>
      </c>
      <c r="H17" s="339" t="s">
        <v>227</v>
      </c>
      <c r="I17" s="339" t="str">
        <f t="shared" si="0"/>
        <v>Mattson</v>
      </c>
      <c r="J17" s="401" t="s">
        <v>228</v>
      </c>
      <c r="K17" s="403" t="s">
        <v>229</v>
      </c>
      <c r="L17" s="405" t="s">
        <v>230</v>
      </c>
      <c r="M17" s="330" t="s">
        <v>213</v>
      </c>
      <c r="N17" s="401" t="s">
        <v>218</v>
      </c>
      <c r="O17" s="333" t="s">
        <v>231</v>
      </c>
      <c r="P17" s="344" t="s">
        <v>232</v>
      </c>
      <c r="Q17" s="294" t="s">
        <v>233</v>
      </c>
      <c r="R17" s="294" t="s">
        <v>223</v>
      </c>
      <c r="S17" s="404" t="s">
        <v>217</v>
      </c>
      <c r="T17" s="404" t="s">
        <v>218</v>
      </c>
      <c r="U17" s="359" t="s">
        <v>231</v>
      </c>
      <c r="V17" s="320" t="s">
        <v>234</v>
      </c>
    </row>
    <row r="18" spans="1:22" ht="34.5" hidden="1" customHeight="1">
      <c r="A18" s="357" t="s">
        <v>16</v>
      </c>
      <c r="B18" s="339">
        <v>1210</v>
      </c>
      <c r="C18" s="345" t="str">
        <f>'Log frame'!C19</f>
        <v>Create or improve commune action plans that focus on water, sanitation and hygiene, and water resource management.​</v>
      </c>
      <c r="D18" s="340" t="s">
        <v>55</v>
      </c>
      <c r="E18" s="346" t="s">
        <v>235</v>
      </c>
      <c r="F18" s="326" t="s">
        <v>57</v>
      </c>
      <c r="G18" s="330" t="s">
        <v>58</v>
      </c>
      <c r="H18" s="339" t="s">
        <v>227</v>
      </c>
      <c r="I18" s="339" t="str">
        <f t="shared" si="0"/>
        <v>Mattson</v>
      </c>
      <c r="J18" s="326" t="s">
        <v>228</v>
      </c>
      <c r="K18" s="347" t="s">
        <v>229</v>
      </c>
      <c r="L18" s="330" t="s">
        <v>230</v>
      </c>
      <c r="M18" s="330" t="s">
        <v>213</v>
      </c>
      <c r="N18" s="326" t="s">
        <v>236</v>
      </c>
      <c r="O18" s="333" t="s">
        <v>231</v>
      </c>
      <c r="P18" s="294"/>
      <c r="Q18" s="294"/>
      <c r="R18" s="329" t="s">
        <v>223</v>
      </c>
      <c r="S18" s="341" t="s">
        <v>217</v>
      </c>
      <c r="T18" s="341" t="s">
        <v>236</v>
      </c>
      <c r="U18" s="359" t="s">
        <v>231</v>
      </c>
      <c r="V18" s="198" t="s">
        <v>237</v>
      </c>
    </row>
    <row r="19" spans="1:22" ht="34.5" hidden="1" customHeight="1">
      <c r="A19" s="357" t="s">
        <v>16</v>
      </c>
      <c r="B19" s="339">
        <v>1220</v>
      </c>
      <c r="C19" s="326" t="str">
        <f>'Log frame'!C21</f>
        <v>Facilitate coordination meetings between commune WASH stakeholders.</v>
      </c>
      <c r="D19" s="340" t="s">
        <v>59</v>
      </c>
      <c r="E19" s="326" t="s">
        <v>238</v>
      </c>
      <c r="F19" s="326" t="s">
        <v>61</v>
      </c>
      <c r="G19" s="330" t="s">
        <v>62</v>
      </c>
      <c r="H19" s="348" t="s">
        <v>209</v>
      </c>
      <c r="I19" s="348" t="str">
        <f t="shared" si="0"/>
        <v>Mattson</v>
      </c>
      <c r="J19" s="326" t="s">
        <v>210</v>
      </c>
      <c r="K19" s="333" t="s">
        <v>211</v>
      </c>
      <c r="L19" s="330" t="s">
        <v>239</v>
      </c>
      <c r="M19" s="330" t="s">
        <v>213</v>
      </c>
      <c r="N19" s="330" t="s">
        <v>214</v>
      </c>
      <c r="O19" s="333" t="s">
        <v>215</v>
      </c>
      <c r="P19" s="349"/>
      <c r="Q19" s="349"/>
      <c r="R19" s="329" t="s">
        <v>223</v>
      </c>
      <c r="S19" s="341" t="s">
        <v>217</v>
      </c>
      <c r="T19" s="341" t="s">
        <v>218</v>
      </c>
      <c r="U19" s="359" t="s">
        <v>215</v>
      </c>
      <c r="V19" s="198" t="s">
        <v>240</v>
      </c>
    </row>
    <row r="20" spans="1:22" ht="34.5" hidden="1" customHeight="1">
      <c r="A20" s="399" t="s">
        <v>40</v>
      </c>
      <c r="B20" s="405">
        <v>1300</v>
      </c>
      <c r="C20" s="405" t="str">
        <f>'Log frame'!D17</f>
        <v>Improved accountability of service providers to users of WASH services.​</v>
      </c>
      <c r="D20" s="402" t="s">
        <v>63</v>
      </c>
      <c r="E20" s="405" t="s">
        <v>241</v>
      </c>
      <c r="F20" s="401" t="s">
        <v>65</v>
      </c>
      <c r="G20" s="405" t="s">
        <v>66</v>
      </c>
      <c r="H20" s="330" t="s">
        <v>227</v>
      </c>
      <c r="I20" s="330" t="s">
        <v>222</v>
      </c>
      <c r="J20" s="405" t="s">
        <v>242</v>
      </c>
      <c r="K20" s="406" t="s">
        <v>243</v>
      </c>
      <c r="L20" s="405" t="s">
        <v>244</v>
      </c>
      <c r="M20" s="330" t="s">
        <v>213</v>
      </c>
      <c r="N20" s="407" t="s">
        <v>214</v>
      </c>
      <c r="O20" s="350" t="s">
        <v>215</v>
      </c>
      <c r="P20" s="330"/>
      <c r="Q20" s="330"/>
      <c r="R20" s="350" t="s">
        <v>245</v>
      </c>
      <c r="S20" s="405" t="s">
        <v>246</v>
      </c>
      <c r="T20" s="405" t="s">
        <v>218</v>
      </c>
      <c r="U20" s="361" t="s">
        <v>247</v>
      </c>
      <c r="V20" s="328" t="s">
        <v>248</v>
      </c>
    </row>
    <row r="21" spans="1:22" ht="34.5" hidden="1" customHeight="1">
      <c r="A21" s="399" t="s">
        <v>40</v>
      </c>
      <c r="B21" s="405">
        <v>1300</v>
      </c>
      <c r="C21" s="405" t="str">
        <f>'Log frame'!D17</f>
        <v>Improved accountability of service providers to users of WASH services.​</v>
      </c>
      <c r="D21" s="402" t="s">
        <v>67</v>
      </c>
      <c r="E21" s="405" t="s">
        <v>249</v>
      </c>
      <c r="F21" s="402" t="s">
        <v>68</v>
      </c>
      <c r="G21" s="405" t="s">
        <v>69</v>
      </c>
      <c r="H21" s="330" t="s">
        <v>227</v>
      </c>
      <c r="I21" s="330" t="str">
        <f t="shared" si="0"/>
        <v>Mattson</v>
      </c>
      <c r="J21" s="405" t="s">
        <v>250</v>
      </c>
      <c r="K21" s="406" t="s">
        <v>251</v>
      </c>
      <c r="L21" s="405" t="s">
        <v>252</v>
      </c>
      <c r="M21" s="330" t="s">
        <v>213</v>
      </c>
      <c r="N21" s="405" t="s">
        <v>236</v>
      </c>
      <c r="O21" s="350" t="s">
        <v>215</v>
      </c>
      <c r="P21" s="330" t="s">
        <v>253</v>
      </c>
      <c r="Q21" s="330"/>
      <c r="R21" s="350" t="s">
        <v>245</v>
      </c>
      <c r="S21" s="405" t="s">
        <v>246</v>
      </c>
      <c r="T21" s="405" t="s">
        <v>236</v>
      </c>
      <c r="U21" s="361" t="s">
        <v>247</v>
      </c>
      <c r="V21" s="332" t="s">
        <v>248</v>
      </c>
    </row>
    <row r="22" spans="1:22" ht="34.5" hidden="1" customHeight="1">
      <c r="A22" s="399" t="s">
        <v>40</v>
      </c>
      <c r="B22" s="405">
        <v>1300</v>
      </c>
      <c r="C22" s="405" t="s">
        <v>64</v>
      </c>
      <c r="D22" s="402" t="s">
        <v>70</v>
      </c>
      <c r="E22" s="405" t="s">
        <v>254</v>
      </c>
      <c r="F22" s="405" t="s">
        <v>71</v>
      </c>
      <c r="G22" s="405" t="s">
        <v>72</v>
      </c>
      <c r="H22" s="330" t="s">
        <v>221</v>
      </c>
      <c r="I22" s="330" t="s">
        <v>222</v>
      </c>
      <c r="J22" s="405" t="s">
        <v>255</v>
      </c>
      <c r="K22" s="406" t="s">
        <v>256</v>
      </c>
      <c r="L22" s="405" t="s">
        <v>257</v>
      </c>
      <c r="M22" s="330" t="s">
        <v>258</v>
      </c>
      <c r="N22" s="405" t="s">
        <v>236</v>
      </c>
      <c r="O22" s="350" t="s">
        <v>215</v>
      </c>
      <c r="P22" s="350" t="s">
        <v>245</v>
      </c>
      <c r="Q22" s="330" t="s">
        <v>259</v>
      </c>
      <c r="R22" s="330" t="s">
        <v>260</v>
      </c>
      <c r="S22" s="405" t="s">
        <v>246</v>
      </c>
      <c r="T22" s="405" t="s">
        <v>236</v>
      </c>
      <c r="U22" s="360" t="s">
        <v>215</v>
      </c>
      <c r="V22" s="335"/>
    </row>
    <row r="23" spans="1:22" ht="34.5" hidden="1" customHeight="1">
      <c r="A23" s="357" t="s">
        <v>16</v>
      </c>
      <c r="B23" s="339">
        <v>1310</v>
      </c>
      <c r="C23" s="351" t="str">
        <f>'Log frame'!D19</f>
        <v>Monitor WASH service performance and satisfaction.</v>
      </c>
      <c r="D23" s="340" t="s">
        <v>73</v>
      </c>
      <c r="E23" s="326" t="s">
        <v>261</v>
      </c>
      <c r="F23" s="340" t="s">
        <v>75</v>
      </c>
      <c r="G23" s="352" t="s">
        <v>76</v>
      </c>
      <c r="H23" s="348" t="s">
        <v>221</v>
      </c>
      <c r="I23" s="348" t="str">
        <f t="shared" si="0"/>
        <v>Mattson</v>
      </c>
      <c r="J23" s="326" t="s">
        <v>262</v>
      </c>
      <c r="K23" s="333" t="s">
        <v>263</v>
      </c>
      <c r="L23" s="330" t="s">
        <v>264</v>
      </c>
      <c r="M23" s="330" t="s">
        <v>213</v>
      </c>
      <c r="N23" s="330" t="s">
        <v>214</v>
      </c>
      <c r="O23" s="333" t="s">
        <v>215</v>
      </c>
      <c r="P23" s="294"/>
      <c r="Q23" s="294"/>
      <c r="R23" s="329" t="s">
        <v>223</v>
      </c>
      <c r="S23" s="341" t="s">
        <v>246</v>
      </c>
      <c r="T23" s="341" t="s">
        <v>218</v>
      </c>
      <c r="U23" s="359" t="s">
        <v>215</v>
      </c>
      <c r="V23" s="327" t="s">
        <v>240</v>
      </c>
    </row>
    <row r="24" spans="1:22" ht="34.5" hidden="1" customHeight="1">
      <c r="A24" s="357" t="s">
        <v>16</v>
      </c>
      <c r="B24" s="339">
        <v>1310</v>
      </c>
      <c r="C24" s="351" t="str">
        <f>C23</f>
        <v>Monitor WASH service performance and satisfaction.</v>
      </c>
      <c r="D24" s="340" t="s">
        <v>77</v>
      </c>
      <c r="E24" s="326" t="s">
        <v>265</v>
      </c>
      <c r="F24" s="340" t="s">
        <v>78</v>
      </c>
      <c r="G24" s="352" t="s">
        <v>76</v>
      </c>
      <c r="H24" s="348" t="s">
        <v>221</v>
      </c>
      <c r="I24" s="348" t="str">
        <f t="shared" si="0"/>
        <v>Mattson</v>
      </c>
      <c r="J24" s="326" t="s">
        <v>262</v>
      </c>
      <c r="K24" s="333" t="s">
        <v>263</v>
      </c>
      <c r="L24" s="330" t="s">
        <v>264</v>
      </c>
      <c r="M24" s="330" t="s">
        <v>213</v>
      </c>
      <c r="N24" s="330" t="s">
        <v>214</v>
      </c>
      <c r="O24" s="333" t="s">
        <v>215</v>
      </c>
      <c r="P24" s="294"/>
      <c r="Q24" s="294"/>
      <c r="R24" s="329" t="s">
        <v>223</v>
      </c>
      <c r="S24" s="341" t="s">
        <v>246</v>
      </c>
      <c r="T24" s="341" t="s">
        <v>218</v>
      </c>
      <c r="U24" s="359" t="s">
        <v>215</v>
      </c>
      <c r="V24" s="327" t="s">
        <v>240</v>
      </c>
    </row>
    <row r="25" spans="1:22" ht="46.5" hidden="1">
      <c r="A25" s="357" t="s">
        <v>16</v>
      </c>
      <c r="B25" s="339">
        <v>1310</v>
      </c>
      <c r="C25" s="351" t="str">
        <f>C24</f>
        <v>Monitor WASH service performance and satisfaction.</v>
      </c>
      <c r="D25" s="340" t="s">
        <v>79</v>
      </c>
      <c r="E25" s="326" t="s">
        <v>266</v>
      </c>
      <c r="F25" s="340" t="s">
        <v>80</v>
      </c>
      <c r="G25" s="330" t="s">
        <v>81</v>
      </c>
      <c r="H25" s="348"/>
      <c r="I25" s="348"/>
      <c r="J25" s="326"/>
      <c r="K25" s="333" t="s">
        <v>267</v>
      </c>
      <c r="L25" s="330" t="s">
        <v>244</v>
      </c>
      <c r="M25" s="330"/>
      <c r="N25" s="330" t="s">
        <v>268</v>
      </c>
      <c r="O25" s="333"/>
      <c r="P25" s="294"/>
      <c r="Q25" s="294"/>
      <c r="R25" s="329" t="s">
        <v>269</v>
      </c>
      <c r="S25" s="341" t="s">
        <v>270</v>
      </c>
      <c r="T25" s="341" t="s">
        <v>218</v>
      </c>
      <c r="U25" s="359"/>
      <c r="V25" s="327"/>
    </row>
    <row r="26" spans="1:22" ht="62.1" hidden="1">
      <c r="A26" s="357" t="s">
        <v>16</v>
      </c>
      <c r="B26" s="339">
        <v>1310</v>
      </c>
      <c r="C26" s="351" t="str">
        <f>C25</f>
        <v>Monitor WASH service performance and satisfaction.</v>
      </c>
      <c r="D26" s="340" t="s">
        <v>82</v>
      </c>
      <c r="E26" s="326" t="s">
        <v>271</v>
      </c>
      <c r="F26" s="340" t="s">
        <v>83</v>
      </c>
      <c r="G26" s="330" t="s">
        <v>84</v>
      </c>
      <c r="H26" s="348"/>
      <c r="I26" s="348"/>
      <c r="J26" s="326" t="s">
        <v>272</v>
      </c>
      <c r="K26" s="333" t="s">
        <v>263</v>
      </c>
      <c r="L26" s="330" t="s">
        <v>257</v>
      </c>
      <c r="M26" s="330" t="s">
        <v>213</v>
      </c>
      <c r="N26" s="330" t="s">
        <v>214</v>
      </c>
      <c r="O26" s="333"/>
      <c r="P26" s="294"/>
      <c r="Q26" s="294"/>
      <c r="R26" s="329"/>
      <c r="S26" s="341" t="s">
        <v>246</v>
      </c>
      <c r="T26" s="341" t="s">
        <v>218</v>
      </c>
      <c r="U26" s="359"/>
      <c r="V26" s="327"/>
    </row>
    <row r="27" spans="1:22" ht="99" hidden="1" customHeight="1">
      <c r="A27" s="357" t="s">
        <v>16</v>
      </c>
      <c r="B27" s="339">
        <v>1320</v>
      </c>
      <c r="C27" s="351" t="str">
        <f>'Log frame'!D21</f>
        <v>Review service provider performance with stakeholders.</v>
      </c>
      <c r="D27" s="340" t="s">
        <v>85</v>
      </c>
      <c r="E27" s="326" t="s">
        <v>273</v>
      </c>
      <c r="F27" s="340" t="s">
        <v>87</v>
      </c>
      <c r="G27" s="352" t="s">
        <v>58</v>
      </c>
      <c r="H27" s="326" t="s">
        <v>227</v>
      </c>
      <c r="I27" s="326" t="str">
        <f t="shared" si="0"/>
        <v>Mattson</v>
      </c>
      <c r="J27" s="326" t="s">
        <v>262</v>
      </c>
      <c r="K27" s="349" t="s">
        <v>274</v>
      </c>
      <c r="L27" s="330" t="s">
        <v>275</v>
      </c>
      <c r="M27" s="352" t="s">
        <v>213</v>
      </c>
      <c r="N27" s="330" t="s">
        <v>236</v>
      </c>
      <c r="O27" s="333" t="s">
        <v>215</v>
      </c>
      <c r="P27" s="294"/>
      <c r="Q27" s="294"/>
      <c r="R27" s="294" t="s">
        <v>36</v>
      </c>
      <c r="S27" s="341" t="s">
        <v>246</v>
      </c>
      <c r="T27" s="294" t="s">
        <v>236</v>
      </c>
      <c r="U27" s="359" t="s">
        <v>215</v>
      </c>
      <c r="V27" s="198" t="s">
        <v>240</v>
      </c>
    </row>
    <row r="28" spans="1:22" ht="34.5" hidden="1" customHeight="1">
      <c r="A28" s="393" t="s">
        <v>37</v>
      </c>
      <c r="B28" s="394">
        <v>2000</v>
      </c>
      <c r="C28" s="396" t="str">
        <f>'Log frame'!E15</f>
        <v>Enhanced household access to and use of sustainable, affordable, and safe water, sanitation and hygiene services.​</v>
      </c>
      <c r="D28" s="397" t="s">
        <v>36</v>
      </c>
      <c r="E28" s="395" t="s">
        <v>36</v>
      </c>
      <c r="F28" s="395" t="s">
        <v>36</v>
      </c>
      <c r="G28" s="395" t="s">
        <v>36</v>
      </c>
      <c r="H28" s="326" t="s">
        <v>36</v>
      </c>
      <c r="I28" s="326" t="str">
        <f t="shared" si="0"/>
        <v>Mattson</v>
      </c>
      <c r="J28" s="395" t="s">
        <v>36</v>
      </c>
      <c r="K28" s="395" t="s">
        <v>36</v>
      </c>
      <c r="L28" s="395" t="s">
        <v>36</v>
      </c>
      <c r="M28" s="326"/>
      <c r="N28" s="395" t="s">
        <v>36</v>
      </c>
      <c r="O28" s="326" t="s">
        <v>36</v>
      </c>
      <c r="P28" s="326" t="s">
        <v>36</v>
      </c>
      <c r="Q28" s="326" t="s">
        <v>36</v>
      </c>
      <c r="R28" s="326" t="s">
        <v>36</v>
      </c>
      <c r="S28" s="395" t="s">
        <v>36</v>
      </c>
      <c r="T28" s="395" t="s">
        <v>36</v>
      </c>
      <c r="U28" s="358" t="s">
        <v>36</v>
      </c>
      <c r="V28" s="136" t="s">
        <v>207</v>
      </c>
    </row>
    <row r="29" spans="1:22" ht="34.5" hidden="1" customHeight="1">
      <c r="A29" s="399" t="s">
        <v>40</v>
      </c>
      <c r="B29" s="401">
        <v>2100</v>
      </c>
      <c r="C29" s="408" t="str">
        <f>'Log frame'!E17</f>
        <v>Increased household access to sustainable, affordable, and safe drinking water services.​</v>
      </c>
      <c r="D29" s="402" t="s">
        <v>89</v>
      </c>
      <c r="E29" s="401" t="s">
        <v>276</v>
      </c>
      <c r="F29" s="402" t="s">
        <v>91</v>
      </c>
      <c r="G29" s="409" t="s">
        <v>92</v>
      </c>
      <c r="H29" s="348" t="s">
        <v>209</v>
      </c>
      <c r="I29" s="348" t="str">
        <f t="shared" si="0"/>
        <v>Mattson</v>
      </c>
      <c r="J29" s="401" t="s">
        <v>277</v>
      </c>
      <c r="K29" s="410" t="s">
        <v>278</v>
      </c>
      <c r="L29" s="405" t="s">
        <v>279</v>
      </c>
      <c r="M29" s="330" t="s">
        <v>258</v>
      </c>
      <c r="N29" s="405" t="s">
        <v>236</v>
      </c>
      <c r="O29" s="333" t="s">
        <v>215</v>
      </c>
      <c r="P29" s="294"/>
      <c r="Q29" s="294"/>
      <c r="R29" s="331" t="s">
        <v>280</v>
      </c>
      <c r="S29" s="404" t="s">
        <v>246</v>
      </c>
      <c r="T29" s="404" t="s">
        <v>236</v>
      </c>
      <c r="U29" s="362" t="s">
        <v>247</v>
      </c>
      <c r="V29" s="198" t="s">
        <v>281</v>
      </c>
    </row>
    <row r="30" spans="1:22" ht="34.5" hidden="1" customHeight="1">
      <c r="A30" s="399" t="s">
        <v>40</v>
      </c>
      <c r="B30" s="401">
        <v>2100</v>
      </c>
      <c r="C30" s="408" t="str">
        <f>'Log frame'!E17</f>
        <v>Increased household access to sustainable, affordable, and safe drinking water services.​</v>
      </c>
      <c r="D30" s="402" t="s">
        <v>93</v>
      </c>
      <c r="E30" s="401" t="s">
        <v>282</v>
      </c>
      <c r="F30" s="402" t="s">
        <v>94</v>
      </c>
      <c r="G30" s="409" t="s">
        <v>92</v>
      </c>
      <c r="H30" s="348" t="s">
        <v>209</v>
      </c>
      <c r="I30" s="348" t="str">
        <f t="shared" si="0"/>
        <v>Mattson</v>
      </c>
      <c r="J30" s="401" t="s">
        <v>283</v>
      </c>
      <c r="K30" s="410" t="s">
        <v>278</v>
      </c>
      <c r="L30" s="405" t="s">
        <v>279</v>
      </c>
      <c r="M30" s="330" t="s">
        <v>258</v>
      </c>
      <c r="N30" s="405" t="s">
        <v>236</v>
      </c>
      <c r="O30" s="333" t="s">
        <v>215</v>
      </c>
      <c r="P30" s="294"/>
      <c r="Q30" s="294"/>
      <c r="R30" s="331" t="s">
        <v>280</v>
      </c>
      <c r="S30" s="404" t="s">
        <v>246</v>
      </c>
      <c r="T30" s="404" t="s">
        <v>236</v>
      </c>
      <c r="U30" s="362" t="s">
        <v>247</v>
      </c>
      <c r="V30" s="198" t="s">
        <v>281</v>
      </c>
    </row>
    <row r="31" spans="1:22" ht="34.5" hidden="1" customHeight="1">
      <c r="A31" s="399" t="s">
        <v>40</v>
      </c>
      <c r="B31" s="401">
        <v>2100</v>
      </c>
      <c r="C31" s="408" t="str">
        <f>'Log frame'!E17</f>
        <v>Increased household access to sustainable, affordable, and safe drinking water services.​</v>
      </c>
      <c r="D31" s="402" t="s">
        <v>95</v>
      </c>
      <c r="E31" s="402" t="s">
        <v>284</v>
      </c>
      <c r="F31" s="402" t="s">
        <v>96</v>
      </c>
      <c r="G31" s="401" t="s">
        <v>69</v>
      </c>
      <c r="H31" s="348" t="s">
        <v>227</v>
      </c>
      <c r="I31" s="348" t="str">
        <f t="shared" si="0"/>
        <v>Mattson</v>
      </c>
      <c r="J31" s="407" t="s">
        <v>228</v>
      </c>
      <c r="K31" s="403" t="s">
        <v>253</v>
      </c>
      <c r="L31" s="407" t="s">
        <v>279</v>
      </c>
      <c r="M31" s="348" t="s">
        <v>258</v>
      </c>
      <c r="N31" s="405" t="s">
        <v>218</v>
      </c>
      <c r="O31" s="333" t="s">
        <v>215</v>
      </c>
      <c r="P31" s="348"/>
      <c r="Q31" s="348"/>
      <c r="R31" s="350" t="s">
        <v>245</v>
      </c>
      <c r="S31" s="404" t="s">
        <v>246</v>
      </c>
      <c r="T31" s="404" t="s">
        <v>236</v>
      </c>
      <c r="U31" s="362" t="s">
        <v>247</v>
      </c>
      <c r="V31" s="328" t="s">
        <v>248</v>
      </c>
    </row>
    <row r="32" spans="1:22" ht="34.5" hidden="1" customHeight="1">
      <c r="A32" s="357" t="s">
        <v>16</v>
      </c>
      <c r="B32" s="326">
        <v>2110</v>
      </c>
      <c r="C32" s="345" t="str">
        <f>'Log frame'!E19</f>
        <v xml:space="preserve">Develop community managed water points. </v>
      </c>
      <c r="D32" s="340" t="s">
        <v>97</v>
      </c>
      <c r="E32" s="326" t="s">
        <v>285</v>
      </c>
      <c r="F32" s="340" t="s">
        <v>99</v>
      </c>
      <c r="G32" s="352" t="s">
        <v>100</v>
      </c>
      <c r="H32" s="348" t="s">
        <v>209</v>
      </c>
      <c r="I32" s="348" t="str">
        <f t="shared" si="0"/>
        <v>Mattson</v>
      </c>
      <c r="J32" s="353" t="s">
        <v>286</v>
      </c>
      <c r="K32" s="333" t="s">
        <v>253</v>
      </c>
      <c r="L32" s="330" t="s">
        <v>279</v>
      </c>
      <c r="M32" s="330" t="s">
        <v>258</v>
      </c>
      <c r="N32" s="330" t="s">
        <v>218</v>
      </c>
      <c r="O32" s="333" t="s">
        <v>215</v>
      </c>
      <c r="P32" s="294"/>
      <c r="Q32" s="294"/>
      <c r="R32" s="331" t="s">
        <v>280</v>
      </c>
      <c r="S32" s="341" t="s">
        <v>217</v>
      </c>
      <c r="T32" s="341" t="s">
        <v>218</v>
      </c>
      <c r="U32" s="362" t="s">
        <v>247</v>
      </c>
      <c r="V32" s="198" t="s">
        <v>281</v>
      </c>
    </row>
    <row r="33" spans="1:22" ht="34.5" hidden="1" customHeight="1">
      <c r="A33" s="357" t="s">
        <v>16</v>
      </c>
      <c r="B33" s="326">
        <v>2120</v>
      </c>
      <c r="C33" s="345" t="str">
        <f>'Log frame'!E21</f>
        <v>Rehabilitate and expand professionally operated piped water systems.</v>
      </c>
      <c r="D33" s="340" t="s">
        <v>101</v>
      </c>
      <c r="E33" s="326" t="s">
        <v>287</v>
      </c>
      <c r="F33" s="340" t="s">
        <v>103</v>
      </c>
      <c r="G33" s="352" t="s">
        <v>100</v>
      </c>
      <c r="H33" s="348" t="s">
        <v>209</v>
      </c>
      <c r="I33" s="348" t="str">
        <f t="shared" si="0"/>
        <v>Mattson</v>
      </c>
      <c r="J33" s="353" t="s">
        <v>288</v>
      </c>
      <c r="K33" s="333" t="s">
        <v>274</v>
      </c>
      <c r="L33" s="330" t="s">
        <v>279</v>
      </c>
      <c r="M33" s="330" t="s">
        <v>213</v>
      </c>
      <c r="N33" s="330" t="s">
        <v>218</v>
      </c>
      <c r="O33" s="333" t="s">
        <v>215</v>
      </c>
      <c r="P33" s="294"/>
      <c r="Q33" s="294"/>
      <c r="R33" s="331" t="s">
        <v>280</v>
      </c>
      <c r="S33" s="341" t="s">
        <v>217</v>
      </c>
      <c r="T33" s="341" t="s">
        <v>218</v>
      </c>
      <c r="U33" s="362" t="s">
        <v>247</v>
      </c>
      <c r="V33" s="198" t="s">
        <v>281</v>
      </c>
    </row>
    <row r="34" spans="1:22" ht="34.5" hidden="1" customHeight="1">
      <c r="A34" s="399" t="s">
        <v>40</v>
      </c>
      <c r="B34" s="401">
        <v>2200</v>
      </c>
      <c r="C34" s="408" t="str">
        <f>'Log frame'!F17</f>
        <v>Increased household access to sustainable, affordable, and safe sanitation services.​</v>
      </c>
      <c r="D34" s="402" t="s">
        <v>104</v>
      </c>
      <c r="E34" s="401" t="s">
        <v>289</v>
      </c>
      <c r="F34" s="411" t="s">
        <v>106</v>
      </c>
      <c r="G34" s="401" t="s">
        <v>107</v>
      </c>
      <c r="H34" s="348" t="s">
        <v>209</v>
      </c>
      <c r="I34" s="348" t="str">
        <f t="shared" si="0"/>
        <v>Mattson</v>
      </c>
      <c r="J34" s="401" t="s">
        <v>228</v>
      </c>
      <c r="K34" s="403" t="s">
        <v>290</v>
      </c>
      <c r="L34" s="405" t="s">
        <v>233</v>
      </c>
      <c r="M34" s="330" t="s">
        <v>258</v>
      </c>
      <c r="N34" s="405" t="s">
        <v>218</v>
      </c>
      <c r="O34" s="333" t="s">
        <v>215</v>
      </c>
      <c r="P34" s="294"/>
      <c r="Q34" s="294"/>
      <c r="R34" s="331" t="s">
        <v>280</v>
      </c>
      <c r="S34" s="404" t="s">
        <v>291</v>
      </c>
      <c r="T34" s="404" t="s">
        <v>218</v>
      </c>
      <c r="U34" s="362" t="s">
        <v>247</v>
      </c>
      <c r="V34" s="198" t="s">
        <v>281</v>
      </c>
    </row>
    <row r="35" spans="1:22" ht="34.5" hidden="1" customHeight="1">
      <c r="A35" s="399" t="s">
        <v>40</v>
      </c>
      <c r="B35" s="401">
        <v>2200</v>
      </c>
      <c r="C35" s="408" t="str">
        <f>C34</f>
        <v>Increased household access to sustainable, affordable, and safe sanitation services.​</v>
      </c>
      <c r="D35" s="402" t="s">
        <v>108</v>
      </c>
      <c r="E35" s="401" t="s">
        <v>292</v>
      </c>
      <c r="F35" s="402" t="s">
        <v>109</v>
      </c>
      <c r="G35" s="405" t="s">
        <v>107</v>
      </c>
      <c r="H35" s="348" t="s">
        <v>209</v>
      </c>
      <c r="I35" s="348" t="str">
        <f t="shared" si="0"/>
        <v>Mattson</v>
      </c>
      <c r="J35" s="402" t="s">
        <v>293</v>
      </c>
      <c r="K35" s="403" t="s">
        <v>290</v>
      </c>
      <c r="L35" s="405" t="s">
        <v>294</v>
      </c>
      <c r="M35" s="330" t="s">
        <v>258</v>
      </c>
      <c r="N35" s="405" t="s">
        <v>236</v>
      </c>
      <c r="O35" s="333" t="s">
        <v>215</v>
      </c>
      <c r="P35" s="294"/>
      <c r="Q35" s="294"/>
      <c r="R35" s="331" t="s">
        <v>280</v>
      </c>
      <c r="S35" s="404" t="s">
        <v>246</v>
      </c>
      <c r="T35" s="404" t="s">
        <v>236</v>
      </c>
      <c r="U35" s="362" t="s">
        <v>247</v>
      </c>
      <c r="V35" s="198" t="s">
        <v>281</v>
      </c>
    </row>
    <row r="36" spans="1:22" ht="34.5" hidden="1" customHeight="1">
      <c r="A36" s="399" t="s">
        <v>40</v>
      </c>
      <c r="B36" s="401">
        <v>2200</v>
      </c>
      <c r="C36" s="408" t="str">
        <f>'Log frame'!F17</f>
        <v>Increased household access to sustainable, affordable, and safe sanitation services.​</v>
      </c>
      <c r="D36" s="402" t="s">
        <v>110</v>
      </c>
      <c r="E36" s="401" t="s">
        <v>295</v>
      </c>
      <c r="F36" s="402" t="s">
        <v>111</v>
      </c>
      <c r="G36" s="405" t="s">
        <v>112</v>
      </c>
      <c r="H36" s="326" t="s">
        <v>296</v>
      </c>
      <c r="I36" s="326" t="str">
        <f t="shared" si="0"/>
        <v>Mattson</v>
      </c>
      <c r="J36" s="401" t="s">
        <v>297</v>
      </c>
      <c r="K36" s="410" t="s">
        <v>278</v>
      </c>
      <c r="L36" s="405" t="s">
        <v>279</v>
      </c>
      <c r="M36" s="330" t="s">
        <v>258</v>
      </c>
      <c r="N36" s="405" t="s">
        <v>298</v>
      </c>
      <c r="O36" s="333" t="s">
        <v>215</v>
      </c>
      <c r="P36" s="294"/>
      <c r="Q36" s="294"/>
      <c r="R36" s="331" t="s">
        <v>280</v>
      </c>
      <c r="S36" s="412" t="s">
        <v>299</v>
      </c>
      <c r="T36" s="404" t="s">
        <v>236</v>
      </c>
      <c r="U36" s="362" t="s">
        <v>247</v>
      </c>
      <c r="V36" s="198" t="s">
        <v>281</v>
      </c>
    </row>
    <row r="37" spans="1:22" ht="34.5" hidden="1" customHeight="1">
      <c r="A37" s="357" t="s">
        <v>16</v>
      </c>
      <c r="B37" s="339">
        <v>2210</v>
      </c>
      <c r="C37" s="345" t="str">
        <f>'Log frame'!F19</f>
        <v>Mobilize communities to achieve Open Defecation Free status</v>
      </c>
      <c r="D37" s="340" t="s">
        <v>113</v>
      </c>
      <c r="E37" s="342" t="s">
        <v>300</v>
      </c>
      <c r="F37" s="340" t="s">
        <v>115</v>
      </c>
      <c r="G37" s="352" t="s">
        <v>100</v>
      </c>
      <c r="H37" s="326" t="s">
        <v>296</v>
      </c>
      <c r="I37" s="326" t="str">
        <f t="shared" si="0"/>
        <v>Mattson</v>
      </c>
      <c r="J37" s="326" t="s">
        <v>297</v>
      </c>
      <c r="K37" s="331" t="s">
        <v>278</v>
      </c>
      <c r="L37" s="326" t="s">
        <v>279</v>
      </c>
      <c r="M37" s="326" t="s">
        <v>258</v>
      </c>
      <c r="N37" s="330" t="s">
        <v>214</v>
      </c>
      <c r="O37" s="333" t="s">
        <v>215</v>
      </c>
      <c r="P37" s="294"/>
      <c r="Q37" s="294"/>
      <c r="R37" s="331" t="s">
        <v>280</v>
      </c>
      <c r="S37" s="341" t="s">
        <v>217</v>
      </c>
      <c r="T37" s="341" t="s">
        <v>218</v>
      </c>
      <c r="U37" s="362" t="s">
        <v>247</v>
      </c>
      <c r="V37" s="198" t="s">
        <v>281</v>
      </c>
    </row>
    <row r="38" spans="1:22" ht="34.5" hidden="1" customHeight="1">
      <c r="A38" s="357" t="s">
        <v>16</v>
      </c>
      <c r="B38" s="339">
        <v>2230</v>
      </c>
      <c r="C38" s="345" t="str">
        <f>'Log frame'!F23</f>
        <v>Construct public latrines.</v>
      </c>
      <c r="D38" s="340" t="s">
        <v>116</v>
      </c>
      <c r="E38" s="326" t="s">
        <v>301</v>
      </c>
      <c r="F38" s="326" t="s">
        <v>118</v>
      </c>
      <c r="G38" s="352" t="s">
        <v>119</v>
      </c>
      <c r="H38" s="348" t="s">
        <v>209</v>
      </c>
      <c r="I38" s="348" t="s">
        <v>302</v>
      </c>
      <c r="J38" s="340" t="s">
        <v>293</v>
      </c>
      <c r="K38" s="331" t="s">
        <v>303</v>
      </c>
      <c r="L38" s="330" t="s">
        <v>279</v>
      </c>
      <c r="M38" s="330" t="s">
        <v>213</v>
      </c>
      <c r="N38" s="330" t="s">
        <v>218</v>
      </c>
      <c r="O38" s="333" t="s">
        <v>215</v>
      </c>
      <c r="P38" s="294"/>
      <c r="Q38" s="294"/>
      <c r="R38" s="331" t="s">
        <v>280</v>
      </c>
      <c r="S38" s="341" t="s">
        <v>246</v>
      </c>
      <c r="T38" s="341" t="s">
        <v>218</v>
      </c>
      <c r="U38" s="362" t="s">
        <v>247</v>
      </c>
      <c r="V38" s="198" t="s">
        <v>304</v>
      </c>
    </row>
    <row r="39" spans="1:22" ht="34.5" hidden="1" customHeight="1">
      <c r="A39" s="399" t="s">
        <v>40</v>
      </c>
      <c r="B39" s="401">
        <v>2300</v>
      </c>
      <c r="C39" s="402" t="str">
        <f>'Log frame'!G17</f>
        <v>Increased household access to hygiene services.</v>
      </c>
      <c r="D39" s="402" t="s">
        <v>120</v>
      </c>
      <c r="E39" s="401" t="s">
        <v>305</v>
      </c>
      <c r="F39" s="402" t="s">
        <v>122</v>
      </c>
      <c r="G39" s="409" t="s">
        <v>123</v>
      </c>
      <c r="H39" s="326" t="s">
        <v>227</v>
      </c>
      <c r="I39" s="326" t="str">
        <f t="shared" si="0"/>
        <v>Mattson</v>
      </c>
      <c r="J39" s="413" t="s">
        <v>306</v>
      </c>
      <c r="K39" s="410" t="s">
        <v>278</v>
      </c>
      <c r="L39" s="405" t="s">
        <v>279</v>
      </c>
      <c r="M39" s="330" t="s">
        <v>258</v>
      </c>
      <c r="N39" s="405" t="s">
        <v>298</v>
      </c>
      <c r="O39" s="333" t="s">
        <v>215</v>
      </c>
      <c r="P39" s="294"/>
      <c r="Q39" s="294"/>
      <c r="R39" s="331" t="s">
        <v>280</v>
      </c>
      <c r="S39" s="412" t="s">
        <v>299</v>
      </c>
      <c r="T39" s="404" t="s">
        <v>218</v>
      </c>
      <c r="U39" s="362" t="s">
        <v>247</v>
      </c>
      <c r="V39" s="198" t="s">
        <v>307</v>
      </c>
    </row>
    <row r="40" spans="1:22" ht="34.5" hidden="1" customHeight="1">
      <c r="A40" s="357" t="s">
        <v>16</v>
      </c>
      <c r="B40" s="339">
        <v>2310</v>
      </c>
      <c r="C40" s="326" t="str">
        <f>'Log frame'!G19</f>
        <v>Train skilled community animators to deliver hygiene trainings and community mobilization.​</v>
      </c>
      <c r="D40" s="340" t="s">
        <v>124</v>
      </c>
      <c r="E40" s="326" t="s">
        <v>308</v>
      </c>
      <c r="F40" s="326" t="s">
        <v>126</v>
      </c>
      <c r="G40" s="352" t="s">
        <v>127</v>
      </c>
      <c r="H40" s="326" t="s">
        <v>227</v>
      </c>
      <c r="I40" s="326" t="str">
        <f t="shared" si="0"/>
        <v>Mattson</v>
      </c>
      <c r="J40" s="326" t="s">
        <v>228</v>
      </c>
      <c r="K40" s="333" t="s">
        <v>309</v>
      </c>
      <c r="L40" s="330" t="s">
        <v>279</v>
      </c>
      <c r="M40" s="330" t="s">
        <v>258</v>
      </c>
      <c r="N40" s="330" t="s">
        <v>268</v>
      </c>
      <c r="O40" s="333" t="s">
        <v>215</v>
      </c>
      <c r="P40" s="294"/>
      <c r="Q40" s="294"/>
      <c r="R40" s="330" t="s">
        <v>223</v>
      </c>
      <c r="S40" s="341" t="s">
        <v>291</v>
      </c>
      <c r="T40" s="341" t="s">
        <v>218</v>
      </c>
      <c r="U40" s="359" t="s">
        <v>215</v>
      </c>
      <c r="V40" s="198" t="s">
        <v>240</v>
      </c>
    </row>
    <row r="41" spans="1:22" ht="34.5" hidden="1" customHeight="1">
      <c r="A41" s="357" t="s">
        <v>16</v>
      </c>
      <c r="B41" s="339">
        <v>2310</v>
      </c>
      <c r="C41" s="326" t="s">
        <v>125</v>
      </c>
      <c r="D41" s="326" t="s">
        <v>128</v>
      </c>
      <c r="E41" s="326" t="s">
        <v>310</v>
      </c>
      <c r="F41" s="326" t="s">
        <v>129</v>
      </c>
      <c r="G41" s="352" t="s">
        <v>130</v>
      </c>
      <c r="H41" s="326" t="s">
        <v>221</v>
      </c>
      <c r="I41" s="326" t="s">
        <v>222</v>
      </c>
      <c r="J41" s="326" t="s">
        <v>311</v>
      </c>
      <c r="K41" s="333" t="s">
        <v>312</v>
      </c>
      <c r="L41" s="330" t="s">
        <v>279</v>
      </c>
      <c r="M41" s="330" t="s">
        <v>213</v>
      </c>
      <c r="N41" s="330" t="s">
        <v>214</v>
      </c>
      <c r="O41" s="333" t="s">
        <v>215</v>
      </c>
      <c r="P41" s="330" t="s">
        <v>223</v>
      </c>
      <c r="Q41" s="341" t="s">
        <v>259</v>
      </c>
      <c r="R41" s="330" t="s">
        <v>223</v>
      </c>
      <c r="S41" s="341" t="s">
        <v>217</v>
      </c>
      <c r="T41" s="341" t="s">
        <v>218</v>
      </c>
      <c r="U41" s="359" t="s">
        <v>215</v>
      </c>
      <c r="V41"/>
    </row>
    <row r="42" spans="1:22" ht="34.5" hidden="1" customHeight="1">
      <c r="A42" s="357" t="s">
        <v>16</v>
      </c>
      <c r="B42" s="339">
        <v>2320</v>
      </c>
      <c r="C42" s="345" t="str">
        <f>'Log frame'!G21</f>
        <v>Certify the sustained usage of hygiene services.</v>
      </c>
      <c r="D42" s="326" t="s">
        <v>131</v>
      </c>
      <c r="E42" s="326" t="s">
        <v>313</v>
      </c>
      <c r="F42" s="340" t="s">
        <v>132</v>
      </c>
      <c r="G42" s="352" t="s">
        <v>100</v>
      </c>
      <c r="H42" s="326" t="s">
        <v>227</v>
      </c>
      <c r="I42" s="326" t="str">
        <f t="shared" si="0"/>
        <v>Mattson</v>
      </c>
      <c r="J42" s="326" t="s">
        <v>228</v>
      </c>
      <c r="K42" s="333" t="s">
        <v>290</v>
      </c>
      <c r="L42" s="330" t="s">
        <v>279</v>
      </c>
      <c r="M42" s="330" t="s">
        <v>258</v>
      </c>
      <c r="N42" s="330" t="s">
        <v>214</v>
      </c>
      <c r="O42" s="333" t="s">
        <v>215</v>
      </c>
      <c r="P42" s="294"/>
      <c r="Q42" s="294"/>
      <c r="R42" s="330" t="s">
        <v>223</v>
      </c>
      <c r="S42" s="341" t="s">
        <v>246</v>
      </c>
      <c r="T42" s="341" t="s">
        <v>218</v>
      </c>
      <c r="U42" s="359" t="s">
        <v>215</v>
      </c>
      <c r="V42" s="198" t="s">
        <v>240</v>
      </c>
    </row>
    <row r="43" spans="1:22" ht="47.1" hidden="1" customHeight="1">
      <c r="A43" s="399" t="s">
        <v>40</v>
      </c>
      <c r="B43" s="401">
        <v>2400</v>
      </c>
      <c r="C43" s="402" t="str">
        <f>'Log frame'!H17</f>
        <v>Increased access to sustainable, safe drinking water, sanitation, and hygiene materials in healthcare facilities, schools, and public places.</v>
      </c>
      <c r="D43" s="402" t="s">
        <v>133</v>
      </c>
      <c r="E43" s="414" t="s">
        <v>314</v>
      </c>
      <c r="F43" s="414" t="s">
        <v>135</v>
      </c>
      <c r="G43" s="405" t="s">
        <v>136</v>
      </c>
      <c r="H43" s="348" t="s">
        <v>209</v>
      </c>
      <c r="I43" s="348" t="s">
        <v>302</v>
      </c>
      <c r="J43" s="401" t="s">
        <v>315</v>
      </c>
      <c r="K43" s="403" t="s">
        <v>316</v>
      </c>
      <c r="L43" s="405" t="s">
        <v>279</v>
      </c>
      <c r="M43" s="330" t="s">
        <v>258</v>
      </c>
      <c r="N43" s="405" t="s">
        <v>236</v>
      </c>
      <c r="O43" s="333" t="s">
        <v>215</v>
      </c>
      <c r="P43" s="294"/>
      <c r="Q43" s="294"/>
      <c r="R43" s="331" t="s">
        <v>317</v>
      </c>
      <c r="S43" s="412" t="s">
        <v>246</v>
      </c>
      <c r="T43" s="404" t="s">
        <v>236</v>
      </c>
      <c r="U43" s="362" t="s">
        <v>247</v>
      </c>
      <c r="V43" s="198" t="s">
        <v>248</v>
      </c>
    </row>
    <row r="44" spans="1:22" ht="56.1" hidden="1" customHeight="1">
      <c r="A44" s="399" t="s">
        <v>40</v>
      </c>
      <c r="B44" s="401">
        <v>2400</v>
      </c>
      <c r="C44" s="402" t="str">
        <f>'Log frame'!H17</f>
        <v>Increased access to sustainable, safe drinking water, sanitation, and hygiene materials in healthcare facilities, schools, and public places.</v>
      </c>
      <c r="D44" s="402" t="s">
        <v>137</v>
      </c>
      <c r="E44" s="415" t="s">
        <v>318</v>
      </c>
      <c r="F44" s="414" t="s">
        <v>138</v>
      </c>
      <c r="G44" s="405" t="s">
        <v>139</v>
      </c>
      <c r="H44" s="348" t="s">
        <v>209</v>
      </c>
      <c r="I44" s="348" t="s">
        <v>302</v>
      </c>
      <c r="J44" s="401" t="s">
        <v>315</v>
      </c>
      <c r="K44" s="403" t="s">
        <v>319</v>
      </c>
      <c r="L44" s="405" t="s">
        <v>279</v>
      </c>
      <c r="M44" s="330" t="s">
        <v>258</v>
      </c>
      <c r="N44" s="405" t="s">
        <v>236</v>
      </c>
      <c r="O44" s="333" t="s">
        <v>215</v>
      </c>
      <c r="P44" s="294"/>
      <c r="Q44" s="294"/>
      <c r="R44" s="331" t="s">
        <v>320</v>
      </c>
      <c r="S44" s="412" t="s">
        <v>246</v>
      </c>
      <c r="T44" s="404" t="s">
        <v>236</v>
      </c>
      <c r="U44" s="362" t="s">
        <v>247</v>
      </c>
      <c r="V44" s="198" t="s">
        <v>248</v>
      </c>
    </row>
    <row r="45" spans="1:22" ht="34.5" hidden="1" customHeight="1">
      <c r="A45" s="357" t="s">
        <v>16</v>
      </c>
      <c r="B45" s="339">
        <v>2410</v>
      </c>
      <c r="C45" s="326" t="str">
        <f>'Log frame'!H19</f>
        <v>Construct or rehabilitate water supply for healthcare facilities and schools.</v>
      </c>
      <c r="D45" s="339" t="s">
        <v>140</v>
      </c>
      <c r="E45" s="354" t="s">
        <v>321</v>
      </c>
      <c r="F45" s="354" t="s">
        <v>142</v>
      </c>
      <c r="G45" s="330" t="s">
        <v>143</v>
      </c>
      <c r="H45" s="348" t="s">
        <v>209</v>
      </c>
      <c r="I45" s="348" t="s">
        <v>302</v>
      </c>
      <c r="J45" s="326" t="s">
        <v>322</v>
      </c>
      <c r="K45" s="333" t="s">
        <v>316</v>
      </c>
      <c r="L45" s="330" t="s">
        <v>279</v>
      </c>
      <c r="M45" s="330" t="s">
        <v>258</v>
      </c>
      <c r="N45" s="330" t="s">
        <v>218</v>
      </c>
      <c r="O45" s="333" t="s">
        <v>215</v>
      </c>
      <c r="P45" s="294"/>
      <c r="Q45" s="294"/>
      <c r="R45" s="331" t="s">
        <v>317</v>
      </c>
      <c r="S45" s="341" t="s">
        <v>246</v>
      </c>
      <c r="T45" s="341" t="s">
        <v>236</v>
      </c>
      <c r="U45" s="362" t="s">
        <v>247</v>
      </c>
      <c r="V45" s="198" t="s">
        <v>248</v>
      </c>
    </row>
    <row r="46" spans="1:22" ht="34.5" hidden="1" customHeight="1">
      <c r="A46" s="357" t="s">
        <v>16</v>
      </c>
      <c r="B46" s="339">
        <v>2410</v>
      </c>
      <c r="C46" s="326" t="str">
        <f>'Log frame'!H19</f>
        <v>Construct or rehabilitate water supply for healthcare facilities and schools.</v>
      </c>
      <c r="D46" s="339" t="s">
        <v>144</v>
      </c>
      <c r="E46" s="346" t="s">
        <v>323</v>
      </c>
      <c r="F46" s="354" t="s">
        <v>145</v>
      </c>
      <c r="G46" s="330" t="s">
        <v>146</v>
      </c>
      <c r="H46" s="348" t="s">
        <v>209</v>
      </c>
      <c r="I46" s="348" t="s">
        <v>302</v>
      </c>
      <c r="J46" s="326" t="s">
        <v>322</v>
      </c>
      <c r="K46" s="333" t="s">
        <v>319</v>
      </c>
      <c r="L46" s="330" t="s">
        <v>279</v>
      </c>
      <c r="M46" s="330" t="s">
        <v>258</v>
      </c>
      <c r="N46" s="330" t="s">
        <v>218</v>
      </c>
      <c r="O46" s="333" t="s">
        <v>215</v>
      </c>
      <c r="P46" s="294"/>
      <c r="Q46" s="294"/>
      <c r="R46" s="331" t="s">
        <v>320</v>
      </c>
      <c r="S46" s="341" t="s">
        <v>246</v>
      </c>
      <c r="T46" s="341" t="s">
        <v>236</v>
      </c>
      <c r="U46" s="362" t="s">
        <v>247</v>
      </c>
      <c r="V46" s="198" t="s">
        <v>248</v>
      </c>
    </row>
    <row r="47" spans="1:22" ht="34.5" hidden="1" customHeight="1">
      <c r="A47" s="357" t="s">
        <v>16</v>
      </c>
      <c r="B47" s="339">
        <v>2420</v>
      </c>
      <c r="C47" s="345" t="str">
        <f>'Log frame'!H21</f>
        <v>Construct communal, healthcare facility, and school latrines.</v>
      </c>
      <c r="D47" s="326" t="s">
        <v>147</v>
      </c>
      <c r="E47" s="346" t="s">
        <v>324</v>
      </c>
      <c r="F47" s="354" t="s">
        <v>149</v>
      </c>
      <c r="G47" s="330" t="s">
        <v>143</v>
      </c>
      <c r="H47" s="348" t="s">
        <v>209</v>
      </c>
      <c r="I47" s="348" t="s">
        <v>302</v>
      </c>
      <c r="J47" s="326" t="s">
        <v>325</v>
      </c>
      <c r="K47" s="333" t="s">
        <v>316</v>
      </c>
      <c r="L47" s="330" t="s">
        <v>279</v>
      </c>
      <c r="M47" s="330" t="s">
        <v>258</v>
      </c>
      <c r="N47" s="330" t="s">
        <v>218</v>
      </c>
      <c r="O47" s="333" t="s">
        <v>215</v>
      </c>
      <c r="P47" s="294"/>
      <c r="Q47" s="294"/>
      <c r="R47" s="331" t="s">
        <v>317</v>
      </c>
      <c r="S47" s="341" t="s">
        <v>246</v>
      </c>
      <c r="T47" s="341" t="s">
        <v>236</v>
      </c>
      <c r="U47" s="362" t="s">
        <v>247</v>
      </c>
      <c r="V47" s="198" t="s">
        <v>248</v>
      </c>
    </row>
    <row r="48" spans="1:22" ht="34.5" hidden="1" customHeight="1">
      <c r="A48" s="357" t="s">
        <v>16</v>
      </c>
      <c r="B48" s="339">
        <v>2420</v>
      </c>
      <c r="C48" s="345" t="str">
        <f>'Log frame'!H21</f>
        <v>Construct communal, healthcare facility, and school latrines.</v>
      </c>
      <c r="D48" s="326" t="s">
        <v>150</v>
      </c>
      <c r="E48" s="346" t="s">
        <v>326</v>
      </c>
      <c r="F48" s="354" t="s">
        <v>151</v>
      </c>
      <c r="G48" s="330" t="s">
        <v>146</v>
      </c>
      <c r="H48" s="348" t="s">
        <v>209</v>
      </c>
      <c r="I48" s="348" t="s">
        <v>302</v>
      </c>
      <c r="J48" s="326" t="s">
        <v>325</v>
      </c>
      <c r="K48" s="333" t="s">
        <v>319</v>
      </c>
      <c r="L48" s="330" t="s">
        <v>279</v>
      </c>
      <c r="M48" s="330" t="s">
        <v>258</v>
      </c>
      <c r="N48" s="330" t="s">
        <v>218</v>
      </c>
      <c r="O48" s="333" t="s">
        <v>215</v>
      </c>
      <c r="P48" s="294"/>
      <c r="Q48" s="294"/>
      <c r="R48" s="331" t="s">
        <v>320</v>
      </c>
      <c r="S48" s="341" t="s">
        <v>246</v>
      </c>
      <c r="T48" s="341" t="s">
        <v>236</v>
      </c>
      <c r="U48" s="362" t="s">
        <v>247</v>
      </c>
      <c r="V48" s="198" t="s">
        <v>248</v>
      </c>
    </row>
    <row r="49" spans="1:32" ht="34.5" hidden="1" customHeight="1">
      <c r="A49" s="357" t="s">
        <v>16</v>
      </c>
      <c r="B49" s="339">
        <v>2430</v>
      </c>
      <c r="C49" s="326" t="str">
        <f>'Log frame'!H23</f>
        <v>Work with (local authorities, civil society) to ensure access to soap or alcohol-based handrub at schools and healthcare facilities.</v>
      </c>
      <c r="D49" s="326" t="s">
        <v>152</v>
      </c>
      <c r="E49" s="326" t="s">
        <v>327</v>
      </c>
      <c r="F49" s="354" t="s">
        <v>154</v>
      </c>
      <c r="G49" s="330" t="s">
        <v>143</v>
      </c>
      <c r="H49" s="348" t="s">
        <v>209</v>
      </c>
      <c r="I49" s="348" t="s">
        <v>302</v>
      </c>
      <c r="J49" s="326" t="s">
        <v>328</v>
      </c>
      <c r="K49" s="333" t="s">
        <v>316</v>
      </c>
      <c r="L49" s="330" t="s">
        <v>279</v>
      </c>
      <c r="M49" s="330" t="s">
        <v>258</v>
      </c>
      <c r="N49" s="330" t="s">
        <v>218</v>
      </c>
      <c r="O49" s="333" t="s">
        <v>215</v>
      </c>
      <c r="P49" s="294"/>
      <c r="Q49" s="294"/>
      <c r="R49" s="331" t="s">
        <v>317</v>
      </c>
      <c r="S49" s="341" t="s">
        <v>246</v>
      </c>
      <c r="T49" s="341" t="s">
        <v>236</v>
      </c>
      <c r="U49" s="362" t="s">
        <v>247</v>
      </c>
      <c r="V49" s="336" t="s">
        <v>248</v>
      </c>
    </row>
    <row r="50" spans="1:32" ht="34.5" hidden="1" customHeight="1">
      <c r="A50" s="357" t="s">
        <v>16</v>
      </c>
      <c r="B50" s="339">
        <v>2430</v>
      </c>
      <c r="C50" s="326" t="str">
        <f>'Log frame'!H23</f>
        <v>Work with (local authorities, civil society) to ensure access to soap or alcohol-based handrub at schools and healthcare facilities.</v>
      </c>
      <c r="D50" s="326" t="s">
        <v>155</v>
      </c>
      <c r="E50" s="326" t="s">
        <v>329</v>
      </c>
      <c r="F50" s="354" t="s">
        <v>156</v>
      </c>
      <c r="G50" s="330" t="s">
        <v>146</v>
      </c>
      <c r="H50" s="348" t="s">
        <v>209</v>
      </c>
      <c r="I50" s="348" t="s">
        <v>302</v>
      </c>
      <c r="J50" s="326" t="s">
        <v>330</v>
      </c>
      <c r="K50" s="333" t="s">
        <v>319</v>
      </c>
      <c r="L50" s="330" t="s">
        <v>279</v>
      </c>
      <c r="M50" s="330" t="s">
        <v>258</v>
      </c>
      <c r="N50" s="330" t="s">
        <v>218</v>
      </c>
      <c r="O50" s="333" t="s">
        <v>215</v>
      </c>
      <c r="P50" s="294"/>
      <c r="Q50" s="294"/>
      <c r="R50" s="331" t="s">
        <v>320</v>
      </c>
      <c r="S50" s="341" t="s">
        <v>246</v>
      </c>
      <c r="T50" s="341" t="s">
        <v>236</v>
      </c>
      <c r="U50" s="362" t="s">
        <v>247</v>
      </c>
      <c r="V50" s="198" t="s">
        <v>248</v>
      </c>
    </row>
    <row r="51" spans="1:32" ht="34.5" hidden="1" customHeight="1">
      <c r="A51" s="393" t="s">
        <v>37</v>
      </c>
      <c r="B51" s="395">
        <v>3000</v>
      </c>
      <c r="C51" s="395" t="str">
        <f>'Log frame'!I15</f>
        <v>Expanded reach and resources leveraged through collective action with other national and international actors.​</v>
      </c>
      <c r="D51" s="395" t="s">
        <v>36</v>
      </c>
      <c r="E51" s="395" t="s">
        <v>36</v>
      </c>
      <c r="F51" s="395" t="s">
        <v>36</v>
      </c>
      <c r="G51" s="398" t="s">
        <v>36</v>
      </c>
      <c r="H51" s="326" t="s">
        <v>36</v>
      </c>
      <c r="I51" s="326" t="str">
        <f t="shared" si="0"/>
        <v>Mattson</v>
      </c>
      <c r="J51" s="398" t="s">
        <v>36</v>
      </c>
      <c r="K51" s="398" t="s">
        <v>36</v>
      </c>
      <c r="L51" s="398" t="s">
        <v>36</v>
      </c>
      <c r="M51" s="330"/>
      <c r="N51" s="398" t="s">
        <v>36</v>
      </c>
      <c r="O51" s="330" t="s">
        <v>36</v>
      </c>
      <c r="P51" s="330" t="s">
        <v>36</v>
      </c>
      <c r="Q51" s="330" t="s">
        <v>36</v>
      </c>
      <c r="R51" s="330" t="s">
        <v>36</v>
      </c>
      <c r="S51" s="398" t="s">
        <v>36</v>
      </c>
      <c r="T51" s="398" t="s">
        <v>36</v>
      </c>
      <c r="U51" s="361" t="s">
        <v>36</v>
      </c>
      <c r="V51" s="136" t="s">
        <v>207</v>
      </c>
    </row>
    <row r="52" spans="1:32" ht="34.5" customHeight="1">
      <c r="A52" s="399" t="s">
        <v>40</v>
      </c>
      <c r="B52" s="401">
        <v>3100</v>
      </c>
      <c r="C52" s="401" t="str">
        <f>'Log frame'!I17</f>
        <v>Increased government and non-government funding in alignment with HANWASH Core Values.</v>
      </c>
      <c r="D52" s="401" t="s">
        <v>157</v>
      </c>
      <c r="E52" s="401" t="s">
        <v>331</v>
      </c>
      <c r="F52" s="407" t="s">
        <v>158</v>
      </c>
      <c r="G52" s="405" t="s">
        <v>159</v>
      </c>
      <c r="H52" s="330" t="s">
        <v>332</v>
      </c>
      <c r="I52" s="330" t="str">
        <f t="shared" si="0"/>
        <v>Mattson</v>
      </c>
      <c r="J52" s="405" t="s">
        <v>333</v>
      </c>
      <c r="K52" s="403" t="s">
        <v>334</v>
      </c>
      <c r="L52" s="405" t="s">
        <v>335</v>
      </c>
      <c r="M52" s="330" t="s">
        <v>213</v>
      </c>
      <c r="N52" s="405" t="s">
        <v>236</v>
      </c>
      <c r="O52" s="350" t="s">
        <v>231</v>
      </c>
      <c r="P52" s="330"/>
      <c r="Q52" s="330"/>
      <c r="R52" s="330" t="s">
        <v>223</v>
      </c>
      <c r="S52" s="405" t="s">
        <v>336</v>
      </c>
      <c r="T52" s="405" t="s">
        <v>236</v>
      </c>
      <c r="U52" s="361" t="s">
        <v>231</v>
      </c>
      <c r="V52" s="328" t="s">
        <v>337</v>
      </c>
    </row>
    <row r="53" spans="1:32" ht="38.25" customHeight="1">
      <c r="A53" s="399" t="s">
        <v>40</v>
      </c>
      <c r="B53" s="401">
        <v>3100</v>
      </c>
      <c r="C53" s="401" t="str">
        <f>'Log frame'!I17</f>
        <v>Increased government and non-government funding in alignment with HANWASH Core Values.</v>
      </c>
      <c r="D53" s="409" t="s">
        <v>160</v>
      </c>
      <c r="E53" s="401" t="s">
        <v>338</v>
      </c>
      <c r="F53" s="407" t="s">
        <v>161</v>
      </c>
      <c r="G53" s="405" t="s">
        <v>162</v>
      </c>
      <c r="H53" s="330" t="s">
        <v>209</v>
      </c>
      <c r="I53" s="330" t="s">
        <v>222</v>
      </c>
      <c r="J53" s="405" t="s">
        <v>339</v>
      </c>
      <c r="K53" s="403" t="s">
        <v>334</v>
      </c>
      <c r="L53" s="405" t="s">
        <v>335</v>
      </c>
      <c r="M53" s="330" t="s">
        <v>213</v>
      </c>
      <c r="N53" s="405" t="s">
        <v>236</v>
      </c>
      <c r="O53" s="350" t="s">
        <v>231</v>
      </c>
      <c r="P53" s="330"/>
      <c r="Q53" s="330"/>
      <c r="R53" s="330" t="s">
        <v>223</v>
      </c>
      <c r="S53" s="405" t="s">
        <v>336</v>
      </c>
      <c r="T53" s="405" t="s">
        <v>236</v>
      </c>
      <c r="U53" s="361" t="s">
        <v>247</v>
      </c>
      <c r="V53" s="328" t="s">
        <v>240</v>
      </c>
      <c r="W53" s="8"/>
      <c r="X53" s="8"/>
      <c r="Y53" s="8"/>
      <c r="Z53" s="8"/>
      <c r="AA53" s="8"/>
      <c r="AB53" s="8"/>
      <c r="AC53" s="8"/>
      <c r="AD53" s="8"/>
      <c r="AE53" s="8"/>
      <c r="AF53" s="8"/>
    </row>
    <row r="54" spans="1:32" ht="34.5" customHeight="1">
      <c r="A54" s="357" t="s">
        <v>16</v>
      </c>
      <c r="B54" s="339">
        <v>3110</v>
      </c>
      <c r="C54" s="345" t="str">
        <f>'Log frame'!I19</f>
        <v>Mobilize and coordinate funding from government and non-government sources in HANWASH program areas in alignment with HANWASH Core Values.</v>
      </c>
      <c r="D54" s="326" t="s">
        <v>163</v>
      </c>
      <c r="E54" s="326" t="s">
        <v>340</v>
      </c>
      <c r="F54" s="340" t="s">
        <v>164</v>
      </c>
      <c r="G54" s="352" t="s">
        <v>159</v>
      </c>
      <c r="H54" s="326" t="s">
        <v>332</v>
      </c>
      <c r="I54" s="326" t="str">
        <f t="shared" si="0"/>
        <v>Mattson</v>
      </c>
      <c r="J54" s="326" t="s">
        <v>341</v>
      </c>
      <c r="K54" s="333" t="s">
        <v>334</v>
      </c>
      <c r="L54" s="330" t="s">
        <v>335</v>
      </c>
      <c r="M54" s="330" t="s">
        <v>213</v>
      </c>
      <c r="N54" s="330" t="s">
        <v>236</v>
      </c>
      <c r="O54" s="333" t="s">
        <v>231</v>
      </c>
      <c r="P54" s="294"/>
      <c r="Q54" s="294"/>
      <c r="R54" s="341" t="s">
        <v>223</v>
      </c>
      <c r="S54" s="341" t="s">
        <v>336</v>
      </c>
      <c r="T54" s="341" t="s">
        <v>236</v>
      </c>
      <c r="U54" s="359" t="s">
        <v>231</v>
      </c>
      <c r="V54" s="198" t="s">
        <v>337</v>
      </c>
    </row>
    <row r="55" spans="1:32" ht="34.5" customHeight="1">
      <c r="A55" s="357" t="s">
        <v>16</v>
      </c>
      <c r="B55" s="339">
        <v>3120</v>
      </c>
      <c r="C55" s="345" t="str">
        <f>'Log frame'!I21</f>
        <v>Mobilize and influence funding from government and non-government sources beyond HANWASH program areas in alignment with HANWASH Core Values.</v>
      </c>
      <c r="D55" s="326" t="s">
        <v>165</v>
      </c>
      <c r="E55" s="326" t="s">
        <v>342</v>
      </c>
      <c r="F55" s="340" t="s">
        <v>166</v>
      </c>
      <c r="G55" s="352" t="s">
        <v>159</v>
      </c>
      <c r="H55" s="326" t="s">
        <v>332</v>
      </c>
      <c r="I55" s="326" t="s">
        <v>302</v>
      </c>
      <c r="J55" s="326" t="s">
        <v>341</v>
      </c>
      <c r="K55" s="333" t="s">
        <v>334</v>
      </c>
      <c r="L55" s="330" t="s">
        <v>335</v>
      </c>
      <c r="M55" s="330" t="s">
        <v>213</v>
      </c>
      <c r="N55" s="330" t="s">
        <v>236</v>
      </c>
      <c r="O55" s="333" t="s">
        <v>231</v>
      </c>
      <c r="P55" s="294"/>
      <c r="Q55" s="294"/>
      <c r="R55" s="341" t="s">
        <v>223</v>
      </c>
      <c r="S55" s="341" t="s">
        <v>336</v>
      </c>
      <c r="T55" s="341" t="s">
        <v>236</v>
      </c>
      <c r="U55" s="359" t="s">
        <v>231</v>
      </c>
      <c r="V55" s="198" t="s">
        <v>337</v>
      </c>
    </row>
    <row r="56" spans="1:32" ht="34.5" customHeight="1">
      <c r="A56" s="399" t="s">
        <v>40</v>
      </c>
      <c r="B56" s="416">
        <v>3200</v>
      </c>
      <c r="C56" s="417" t="str">
        <f>'Log frame'!J17</f>
        <v>Increased capacity of DINEPA to regulate the sector and OREPA to oversee and support implementation.</v>
      </c>
      <c r="D56" s="405" t="s">
        <v>167</v>
      </c>
      <c r="E56" s="401" t="s">
        <v>343</v>
      </c>
      <c r="F56" s="401" t="s">
        <v>168</v>
      </c>
      <c r="G56" s="400" t="s">
        <v>169</v>
      </c>
      <c r="H56" s="339" t="s">
        <v>227</v>
      </c>
      <c r="I56" s="339" t="str">
        <f t="shared" si="0"/>
        <v>Mattson</v>
      </c>
      <c r="J56" s="401" t="s">
        <v>344</v>
      </c>
      <c r="K56" s="403" t="s">
        <v>345</v>
      </c>
      <c r="L56" s="401" t="s">
        <v>336</v>
      </c>
      <c r="M56" s="326" t="s">
        <v>213</v>
      </c>
      <c r="N56" s="401" t="s">
        <v>236</v>
      </c>
      <c r="O56" s="326" t="s">
        <v>36</v>
      </c>
      <c r="P56" s="326" t="s">
        <v>36</v>
      </c>
      <c r="Q56" s="326" t="s">
        <v>36</v>
      </c>
      <c r="R56" s="326" t="s">
        <v>36</v>
      </c>
      <c r="S56" s="401" t="s">
        <v>270</v>
      </c>
      <c r="T56" s="401" t="s">
        <v>236</v>
      </c>
      <c r="U56" s="358" t="s">
        <v>36</v>
      </c>
      <c r="V56" s="136" t="s">
        <v>346</v>
      </c>
    </row>
    <row r="57" spans="1:32" ht="34.5" hidden="1" customHeight="1" thickBot="1">
      <c r="A57" s="363" t="s">
        <v>16</v>
      </c>
      <c r="B57" s="364">
        <v>3220</v>
      </c>
      <c r="C57" s="365" t="str">
        <f>'Log frame'!J21</f>
        <v>Provide technical assistance and training to DINEPA and the OREPAs.</v>
      </c>
      <c r="D57" s="366" t="s">
        <v>170</v>
      </c>
      <c r="E57" s="366" t="s">
        <v>347</v>
      </c>
      <c r="F57" s="367" t="s">
        <v>171</v>
      </c>
      <c r="G57" s="368" t="s">
        <v>172</v>
      </c>
      <c r="H57" s="368" t="s">
        <v>209</v>
      </c>
      <c r="I57" s="368" t="str">
        <f t="shared" si="0"/>
        <v>Mattson</v>
      </c>
      <c r="J57" s="366" t="s">
        <v>228</v>
      </c>
      <c r="K57" s="369" t="s">
        <v>211</v>
      </c>
      <c r="L57" s="366" t="s">
        <v>279</v>
      </c>
      <c r="M57" s="366" t="s">
        <v>213</v>
      </c>
      <c r="N57" s="370" t="s">
        <v>268</v>
      </c>
      <c r="O57" s="369" t="s">
        <v>215</v>
      </c>
      <c r="P57" s="371"/>
      <c r="Q57" s="371"/>
      <c r="R57" s="370" t="s">
        <v>223</v>
      </c>
      <c r="S57" s="370" t="s">
        <v>217</v>
      </c>
      <c r="T57" s="370" t="s">
        <v>218</v>
      </c>
      <c r="U57" s="372" t="s">
        <v>215</v>
      </c>
      <c r="V57" s="198" t="s">
        <v>240</v>
      </c>
    </row>
  </sheetData>
  <autoFilter ref="A11:N57" xr:uid="{BE8B9DD6-C48E-49B4-B8BB-6D4871740D80}">
    <filterColumn colId="11">
      <filters>
        <filter val="HANWASH CFO"/>
        <filter val="HANWASH Country Director"/>
      </filters>
    </filterColumn>
  </autoFilter>
  <mergeCells count="19">
    <mergeCell ref="A5:C5"/>
    <mergeCell ref="F5:T5"/>
    <mergeCell ref="A1:C1"/>
    <mergeCell ref="A2:C2"/>
    <mergeCell ref="A3:C3"/>
    <mergeCell ref="A4:C4"/>
    <mergeCell ref="F4:T4"/>
    <mergeCell ref="V10:V11"/>
    <mergeCell ref="A6:C6"/>
    <mergeCell ref="F6:T6"/>
    <mergeCell ref="A7:C7"/>
    <mergeCell ref="F7:T7"/>
    <mergeCell ref="A8:C8"/>
    <mergeCell ref="F8:T8"/>
    <mergeCell ref="A10:C10"/>
    <mergeCell ref="D10:J10"/>
    <mergeCell ref="K10:O10"/>
    <mergeCell ref="P10:Q10"/>
    <mergeCell ref="R10:U10"/>
  </mergeCells>
  <hyperlinks>
    <hyperlink ref="K33" r:id="rId1" location="/forms/d97abfe8b83843dcb03c5b1d72e01f93/preview" xr:uid="{33C4005A-AE46-4A6F-A107-0985625D44EB}"/>
    <hyperlink ref="R21" r:id="rId2" location="/forms/530fe4e5a09f42d0a96cef1b855a5241/preview" display="HANWASH household audit" xr:uid="{F8501CB1-A23F-4B9C-8B71-673660C73CC5}"/>
    <hyperlink ref="K40" r:id="rId3" location="/forms/76ba0885e88a4c20b8686aa9204acd30" display="Implementation event tracking form" xr:uid="{175CA360-80C7-4035-A02D-D48E70E9A6DA}"/>
    <hyperlink ref="K14" r:id="rId4" location="/forms/76ba0885e88a4c20b8686aa9204acd30" xr:uid="{78EAC498-91E0-404C-885C-31497147AFC1}"/>
    <hyperlink ref="K16" r:id="rId5" location="/forms/76ba0885e88a4c20b8686aa9204acd30" xr:uid="{A47E8658-D781-4383-833E-1DB1461DFA8B}"/>
    <hyperlink ref="K19" r:id="rId6" location="/forms/76ba0885e88a4c20b8686aa9204acd30" xr:uid="{8B45DF39-1455-40B1-BE5E-4E73581AD1A0}"/>
    <hyperlink ref="K21" r:id="rId7" location="/forms/fad15f51bbf44bb0bf9c36f08887c2dd" display="Water point survey (type &amp; functionality) + rapid community assessment (HH count)" xr:uid="{7E0C2A54-7D24-41B4-82FE-0685861ECFD2}"/>
    <hyperlink ref="K23" r:id="rId8" location="/forms/d97abfe8b83843dcb03c5b1d72e01f93/preview" display="SAEP monthly report" xr:uid="{7F152FC0-BADF-45AF-9ABE-ACC80AF5A348}"/>
    <hyperlink ref="K27" r:id="rId9" location="/forms/d97abfe8b83843dcb03c5b1d72e01f93/preview" xr:uid="{53D4411B-2761-4176-8AA7-440CBD446660}"/>
    <hyperlink ref="K43" r:id="rId10" location="/forms/802cd40b8ada491eae959778d70597bf" xr:uid="{EE29688F-DAB2-4524-BB1E-4739B8E8FF7B}"/>
    <hyperlink ref="K45" r:id="rId11" location="/forms/802cd40b8ada491eae959778d70597bf" xr:uid="{646E3ED0-D8CF-4B24-A96D-A83701FEFB1D}"/>
    <hyperlink ref="K47" r:id="rId12" location="/forms/802cd40b8ada491eae959778d70597bf" xr:uid="{33C7C3C4-9658-47A5-9943-40A84FCBC41C}"/>
    <hyperlink ref="K49" r:id="rId13" location="/forms/802cd40b8ada491eae959778d70597bf" xr:uid="{0B8394F3-06FA-4127-8F1B-D1340F02ED0D}"/>
    <hyperlink ref="K44" r:id="rId14" location="/forms/b823db9a3c794e3bbfb204540990c2c8" xr:uid="{73EA9E9C-8253-441D-9AD5-E1F0868AA23E}"/>
    <hyperlink ref="K46" r:id="rId15" location="/forms/b823db9a3c794e3bbfb204540990c2c8" xr:uid="{3BFE1646-0F0E-4C58-9052-307112441623}"/>
    <hyperlink ref="K48" r:id="rId16" location="/forms/b823db9a3c794e3bbfb204540990c2c8" xr:uid="{3BCEDBDC-4536-44C0-BBB4-943E8C69F839}"/>
    <hyperlink ref="K50" r:id="rId17" location="/forms/b823db9a3c794e3bbfb204540990c2c8" xr:uid="{82BE835E-E8AB-4FAC-BCB8-CDF5FF21C8DD}"/>
    <hyperlink ref="K32" r:id="rId18" location="/forms/fad15f51bbf44bb0bf9c36f08887c2dd" display="Water point survey (type &amp; functionality) + rapid community assessment (HH count)" xr:uid="{F50D0F67-CD40-46B3-A94B-02C3EAB22CC2}"/>
    <hyperlink ref="K57" r:id="rId19" location="/forms/76ba0885e88a4c20b8686aa9204acd30" xr:uid="{E92F2D33-DFF7-4270-AA65-5541AEC6F884}"/>
    <hyperlink ref="P17" r:id="rId20" location="/consoles/818a590d510e40728bc1e969aa98c0db?tab=e4139e54-32f5-49d7-872a-9c40004944f3" xr:uid="{17602860-5754-42F2-8149-DF0EA1B88A24}"/>
    <hyperlink ref="P21" r:id="rId21" location="/forms/fad15f51bbf44bb0bf9c36f08887c2dd" display="Water point survey (type &amp; functionality) + rapid community assessment (HH count)" xr:uid="{7783385B-FD21-4426-AF99-35FEB15FA68F}"/>
    <hyperlink ref="O21" r:id="rId22" location="/consoles/1d080c5b8c154825b446b267319a8288?tab=b96fe26a-1712-43b1-a86b-26e9f7b833b4" xr:uid="{B75B0368-78C8-4949-8B11-AE553048ADFC}"/>
    <hyperlink ref="O17" r:id="rId23" location="/consoles/818a590d510e40728bc1e969aa98c0db?tab=e4139e54-32f5-49d7-872a-9c40004944f3" xr:uid="{DC1A7607-BFC3-46FC-9AD9-BFD0DDBD5B2B}"/>
    <hyperlink ref="O29" r:id="rId24" location="/consoles/1d080c5b8c154825b446b267319a8288?tab=b96fe26a-1712-43b1-a86b-26e9f7b833b4" xr:uid="{8613CDF7-CBC2-4486-95E8-176260332373}"/>
    <hyperlink ref="O30" r:id="rId25" location="/consoles/1d080c5b8c154825b446b267319a8288?tab=b96fe26a-1712-43b1-a86b-26e9f7b833b4" xr:uid="{83142C8B-A61A-4A2C-8D7A-3E76B6D9DEBF}"/>
    <hyperlink ref="O36" r:id="rId26" location="/consoles/1d080c5b8c154825b446b267319a8288?tab=b96fe26a-1712-43b1-a86b-26e9f7b833b4" xr:uid="{5B71CCB7-EC16-47F8-AC76-1020A4CBCD22}"/>
    <hyperlink ref="O43" r:id="rId27" location="/consoles/1d080c5b8c154825b446b267319a8288?tab=b96fe26a-1712-43b1-a86b-26e9f7b833b4" xr:uid="{CD8E2972-1437-4509-A1B9-D19B7935B307}"/>
    <hyperlink ref="O44" r:id="rId28" location="/consoles/1d080c5b8c154825b446b267319a8288?tab=b96fe26a-1712-43b1-a86b-26e9f7b833b4" xr:uid="{A944B4A6-B8AA-4AB6-989F-F35B98E76928}"/>
    <hyperlink ref="O14" r:id="rId29" location="/consoles/1d080c5b8c154825b446b267319a8288?tab=b96fe26a-1712-43b1-a86b-26e9f7b833b4" xr:uid="{4E297BEE-D606-4606-B1BF-711EF0F2E0A0}"/>
    <hyperlink ref="O16" r:id="rId30" location="/consoles/1d080c5b8c154825b446b267319a8288?tab=b96fe26a-1712-43b1-a86b-26e9f7b833b4" xr:uid="{C4D1A7A0-6985-4843-9837-AF141FD94B9A}"/>
    <hyperlink ref="O18" r:id="rId31" location="/consoles/818a590d510e40728bc1e969aa98c0db?tab=e4139e54-32f5-49d7-872a-9c40004944f3" xr:uid="{72BAE620-978F-45D1-9407-2436E189FA01}"/>
    <hyperlink ref="O19" r:id="rId32" location="/consoles/1d080c5b8c154825b446b267319a8288?tab=b96fe26a-1712-43b1-a86b-26e9f7b833b4" xr:uid="{DDDB3A54-224D-4BEE-A304-BE27068FF6CD}"/>
    <hyperlink ref="O23" r:id="rId33" location="/consoles/1d080c5b8c154825b446b267319a8288?tab=b96fe26a-1712-43b1-a86b-26e9f7b833b4" xr:uid="{ED466A34-D7EE-4959-850E-AAABFCD0AF06}"/>
    <hyperlink ref="O27" r:id="rId34" location="/consoles/1d080c5b8c154825b446b267319a8288?tab=b96fe26a-1712-43b1-a86b-26e9f7b833b4" xr:uid="{639995EB-F51F-4599-8975-ECFAD079ABC1}"/>
    <hyperlink ref="O32" r:id="rId35" location="/consoles/1d080c5b8c154825b446b267319a8288?tab=b96fe26a-1712-43b1-a86b-26e9f7b833b4" xr:uid="{9942132E-D6E9-4ED0-A3D7-A07E44387910}"/>
    <hyperlink ref="O33" r:id="rId36" location="/consoles/1d080c5b8c154825b446b267319a8288?tab=b96fe26a-1712-43b1-a86b-26e9f7b833b4" xr:uid="{24E74268-7287-41C1-8E2C-F18959D2E9AB}"/>
    <hyperlink ref="O37" r:id="rId37" location="/consoles/1d080c5b8c154825b446b267319a8288?tab=b96fe26a-1712-43b1-a86b-26e9f7b833b4" xr:uid="{2150E367-14DF-41F7-86D1-CE07C7005B46}"/>
    <hyperlink ref="O40" r:id="rId38" location="/consoles/1d080c5b8c154825b446b267319a8288?tab=b96fe26a-1712-43b1-a86b-26e9f7b833b4" xr:uid="{AC2D9930-C46F-4575-B8BC-9C0BCD07E8AE}"/>
    <hyperlink ref="O42" r:id="rId39" location="/consoles/1d080c5b8c154825b446b267319a8288?tab=b96fe26a-1712-43b1-a86b-26e9f7b833b4" xr:uid="{C32FF401-C2F2-4216-8C77-06C1598EBDDA}"/>
    <hyperlink ref="O45" r:id="rId40" location="/consoles/1d080c5b8c154825b446b267319a8288?tab=b96fe26a-1712-43b1-a86b-26e9f7b833b4" xr:uid="{4EF1A509-DB79-4EFE-9ED7-2D000B67799B}"/>
    <hyperlink ref="O46" r:id="rId41" location="/consoles/1d080c5b8c154825b446b267319a8288?tab=b96fe26a-1712-43b1-a86b-26e9f7b833b4" xr:uid="{0285F017-3FFB-4396-98ED-58FC8FCCC043}"/>
    <hyperlink ref="O47" r:id="rId42" location="/consoles/1d080c5b8c154825b446b267319a8288?tab=b96fe26a-1712-43b1-a86b-26e9f7b833b4" xr:uid="{DD110EDA-18D8-4590-8BE1-82D21CA33989}"/>
    <hyperlink ref="O48" r:id="rId43" location="/consoles/1d080c5b8c154825b446b267319a8288?tab=b96fe26a-1712-43b1-a86b-26e9f7b833b4" xr:uid="{4404D522-D733-47BF-99DD-E66E1A5495EC}"/>
    <hyperlink ref="O49" r:id="rId44" location="/consoles/1d080c5b8c154825b446b267319a8288?tab=b96fe26a-1712-43b1-a86b-26e9f7b833b4" xr:uid="{469DC53A-5410-48EB-8982-DA55484B8DF2}"/>
    <hyperlink ref="O50" r:id="rId45" location="/consoles/1d080c5b8c154825b446b267319a8288?tab=b96fe26a-1712-43b1-a86b-26e9f7b833b4" xr:uid="{D807B90B-86EF-4A25-97D7-87CA290BAD98}"/>
    <hyperlink ref="O54" r:id="rId46" location="/consoles/818a590d510e40728bc1e969aa98c0db?tab=e4139e54-32f5-49d7-872a-9c40004944f3" xr:uid="{44B0CFC6-B9EB-4561-951C-8087C143E97E}"/>
    <hyperlink ref="O55" r:id="rId47" location="/consoles/818a590d510e40728bc1e969aa98c0db?tab=e4139e54-32f5-49d7-872a-9c40004944f3" xr:uid="{AF5AE426-7A5E-4ECC-8A38-FBA26C029844}"/>
    <hyperlink ref="O57" r:id="rId48" location="/consoles/1d080c5b8c154825b446b267319a8288?tab=b96fe26a-1712-43b1-a86b-26e9f7b833b4" xr:uid="{F48D0C89-48AD-49F4-A897-7ECB145FE116}"/>
    <hyperlink ref="U17" r:id="rId49" location="/consoles/818a590d510e40728bc1e969aa98c0db?tab=e4139e54-32f5-49d7-872a-9c40004944f3" xr:uid="{353DD922-6EEA-4A85-8E78-05028F06FEC7}"/>
    <hyperlink ref="U14" r:id="rId50" location="/consoles/1d080c5b8c154825b446b267319a8288?tab=b96fe26a-1712-43b1-a86b-26e9f7b833b4" xr:uid="{36C208DA-927F-4C70-AA69-F026A1ED5223}"/>
    <hyperlink ref="U16" r:id="rId51" location="/consoles/1d080c5b8c154825b446b267319a8288?tab=b96fe26a-1712-43b1-a86b-26e9f7b833b4" xr:uid="{7CF1C783-B34E-4360-85D3-1271ED33DF28}"/>
    <hyperlink ref="U18" r:id="rId52" location="/consoles/818a590d510e40728bc1e969aa98c0db?tab=e4139e54-32f5-49d7-872a-9c40004944f3" xr:uid="{CC6F3A91-7CE6-43E1-9856-1C189DA2001D}"/>
    <hyperlink ref="R29" r:id="rId53" location="/forms/530fe4e5a09f42d0a96cef1b855a5241/preview" xr:uid="{74984DF6-3AA9-4B6E-A336-9C86BCC50E12}"/>
    <hyperlink ref="R30" r:id="rId54" location="/forms/530fe4e5a09f42d0a96cef1b855a5241/preview" xr:uid="{5FA6DA55-4263-44E7-9336-171D0F6EF8A5}"/>
    <hyperlink ref="R36" r:id="rId55" location="/forms/530fe4e5a09f42d0a96cef1b855a5241/preview" xr:uid="{4022B559-6807-41C7-A430-DE7928927826}"/>
    <hyperlink ref="R43" r:id="rId56" location="/forms/802cd40b8ada491eae959778d70597bf" xr:uid="{5B48B81C-2A0E-4636-B1AA-E86AD90222CD}"/>
    <hyperlink ref="R44" r:id="rId57" location="/forms/b823db9a3c794e3bbfb204540990c2c8" xr:uid="{5494F470-B998-4360-B583-956C754AB580}"/>
    <hyperlink ref="U23" r:id="rId58" location="/consoles/1d080c5b8c154825b446b267319a8288?tab=b96fe26a-1712-43b1-a86b-26e9f7b833b4" xr:uid="{E7127295-7FD8-4057-9C52-B88DF12BD8EA}"/>
    <hyperlink ref="U27" r:id="rId59" location="/consoles/1d080c5b8c154825b446b267319a8288?tab=b96fe26a-1712-43b1-a86b-26e9f7b833b4" xr:uid="{E9D313EF-C98E-4D21-81B6-234D2053D748}"/>
    <hyperlink ref="R32" r:id="rId60" location="/forms/530fe4e5a09f42d0a96cef1b855a5241/preview" xr:uid="{F7B120F3-A9A4-4A68-A4F4-B49229F64915}"/>
    <hyperlink ref="R33" r:id="rId61" location="/forms/530fe4e5a09f42d0a96cef1b855a5241/preview" xr:uid="{1A7B58F1-C68C-421A-83E0-82C1F7FDEEEF}"/>
    <hyperlink ref="R37" r:id="rId62" location="/forms/530fe4e5a09f42d0a96cef1b855a5241/preview" xr:uid="{D8642F8B-1BB3-4123-9D1B-D76BB00E0BBE}"/>
    <hyperlink ref="U40" r:id="rId63" location="/consoles/1d080c5b8c154825b446b267319a8288?tab=b96fe26a-1712-43b1-a86b-26e9f7b833b4" xr:uid="{15004E04-F485-4508-B619-704B95AD0139}"/>
    <hyperlink ref="U42" r:id="rId64" location="/consoles/1d080c5b8c154825b446b267319a8288?tab=b96fe26a-1712-43b1-a86b-26e9f7b833b4" xr:uid="{5584C62D-E1E0-45AC-AA56-F7D1EEEAAD0D}"/>
    <hyperlink ref="R45" r:id="rId65" location="/forms/802cd40b8ada491eae959778d70597bf" xr:uid="{695A46D5-E3A4-4CB0-A643-082B49A7C6F5}"/>
    <hyperlink ref="R47" r:id="rId66" location="/forms/802cd40b8ada491eae959778d70597bf" xr:uid="{0BA87FC2-E7C4-48F4-AC38-ED5F1CBA17D3}"/>
    <hyperlink ref="R49" r:id="rId67" location="/forms/802cd40b8ada491eae959778d70597bf" xr:uid="{66BFA959-CA8C-4FD6-97E0-7584F0D4A62D}"/>
    <hyperlink ref="R46" r:id="rId68" location="/forms/b823db9a3c794e3bbfb204540990c2c8" xr:uid="{21C9FA91-6A09-433A-A2DE-5863B69FBCB2}"/>
    <hyperlink ref="R48" r:id="rId69" location="/forms/b823db9a3c794e3bbfb204540990c2c8" xr:uid="{0C3322CE-0DD1-4724-B6A0-3D445796C50A}"/>
    <hyperlink ref="R50" r:id="rId70" location="/forms/b823db9a3c794e3bbfb204540990c2c8" xr:uid="{606EAEEB-4097-4799-8635-47D64BF52A49}"/>
    <hyperlink ref="U52" r:id="rId71" location="/consoles/818a590d510e40728bc1e969aa98c0db?tab=e4139e54-32f5-49d7-872a-9c40004944f3" xr:uid="{38220ADE-7AD8-4310-9B1A-EE98BCE1E829}"/>
    <hyperlink ref="U54" r:id="rId72" location="/consoles/818a590d510e40728bc1e969aa98c0db?tab=e4139e54-32f5-49d7-872a-9c40004944f3" xr:uid="{E93EF33C-47DF-4CFA-B9FF-8F2517D6BDF5}"/>
    <hyperlink ref="U55" r:id="rId73" location="/consoles/818a590d510e40728bc1e969aa98c0db?tab=e4139e54-32f5-49d7-872a-9c40004944f3" xr:uid="{94BB19C8-9E59-4502-8925-557D8AFFF52A}"/>
    <hyperlink ref="U57" r:id="rId74" location="/consoles/1d080c5b8c154825b446b267319a8288?tab=b96fe26a-1712-43b1-a86b-26e9f7b833b4" xr:uid="{510C6B87-B2B2-4A3C-A80A-0881D9904A37}"/>
    <hyperlink ref="U19" r:id="rId75" location="/consoles/1d080c5b8c154825b446b267319a8288?tab=b96fe26a-1712-43b1-a86b-26e9f7b833b4" xr:uid="{AE03B872-CFD7-4185-A62A-F6FBD7E54C62}"/>
    <hyperlink ref="A5" r:id="rId76" xr:uid="{04256C64-54EC-4DE2-9090-AD0AF806E863}"/>
    <hyperlink ref="O38" r:id="rId77" location="/consoles/1d080c5b8c154825b446b267319a8288?tab=b96fe26a-1712-43b1-a86b-26e9f7b833b4" xr:uid="{220A7BD8-D9BA-43C0-9CE2-C8D5EC6C1057}"/>
    <hyperlink ref="R38" r:id="rId78" location="/forms/530fe4e5a09f42d0a96cef1b855a5241/preview" xr:uid="{8670A021-21BA-4AC4-B334-88AA392CD601}"/>
    <hyperlink ref="K35" r:id="rId79" location="/forms/e045ce2509964909bed52a842b28dffd" display="ODF verification and certification" xr:uid="{59E70498-3CFE-4F22-B836-95F7C66FAC3F}"/>
    <hyperlink ref="O35" r:id="rId80" location="/consoles/1d080c5b8c154825b446b267319a8288?tab=b96fe26a-1712-43b1-a86b-26e9f7b833b4" xr:uid="{57BDEECC-2BE2-4CD6-B969-3DB78C5FC6C3}"/>
    <hyperlink ref="R35" r:id="rId81" location="/forms/530fe4e5a09f42d0a96cef1b855a5241/preview" xr:uid="{9E3516C3-6117-4D4A-9050-765C28E73FD2}"/>
    <hyperlink ref="O34" r:id="rId82" location="/consoles/1d080c5b8c154825b446b267319a8288?tab=b96fe26a-1712-43b1-a86b-26e9f7b833b4" xr:uid="{1BB1A495-F916-4203-9889-8E29208077BD}"/>
    <hyperlink ref="R34" r:id="rId83" location="/forms/530fe4e5a09f42d0a96cef1b855a5241/preview" xr:uid="{296C926B-DC8A-4BD8-A2C8-AE79EF139067}"/>
    <hyperlink ref="O39" r:id="rId84" location="/consoles/1d080c5b8c154825b446b267319a8288?tab=b96fe26a-1712-43b1-a86b-26e9f7b833b4" xr:uid="{C763807C-43BC-4868-B68A-B6E4A8EE088E}"/>
    <hyperlink ref="R39" r:id="rId85" location="/forms/530fe4e5a09f42d0a96cef1b855a5241/preview" xr:uid="{07140DC7-1F49-4F53-85EF-28436C36DEC2}"/>
    <hyperlink ref="K34" r:id="rId86" location="/forms/2bd65fbd2daf4064ac60694210797595" display="Rapid community assessment" xr:uid="{9638DF80-5410-4BA5-8A0A-7045F463A3F9}"/>
    <hyperlink ref="K39" r:id="rId87" location="/forms/530fe4e5a09f42d0a96cef1b855a5241/preview" xr:uid="{46CD1284-D787-4EE5-BA80-D232E3CA233F}"/>
    <hyperlink ref="K36" r:id="rId88" location="/forms/530fe4e5a09f42d0a96cef1b855a5241/preview" xr:uid="{DA86FE91-DFCA-4CAB-9FB3-89AAE17D8E91}"/>
    <hyperlink ref="K30" r:id="rId89" location="/forms/530fe4e5a09f42d0a96cef1b855a5241/preview" xr:uid="{2656678C-6335-49A2-9552-6213ACABC0B7}"/>
    <hyperlink ref="K29" r:id="rId90" location="/forms/530fe4e5a09f42d0a96cef1b855a5241/preview" xr:uid="{8300DB74-75D3-46BD-906C-AADAFFCDD5FB}"/>
    <hyperlink ref="K37" r:id="rId91" location="/forms/530fe4e5a09f42d0a96cef1b855a5241/preview" xr:uid="{D385A49E-F260-4051-A5DA-42C2715B67B9}"/>
    <hyperlink ref="K42" r:id="rId92" location="/forms/e045ce2509964909bed52a842b28dffd" display="ODF verification and certification" xr:uid="{65784227-95BD-4ACA-88BA-3C42D09CFBD0}"/>
    <hyperlink ref="O20" r:id="rId93" location="/consoles/1d080c5b8c154825b446b267319a8288?tab=b96fe26a-1712-43b1-a86b-26e9f7b833b4" xr:uid="{8F3E63A2-9952-49A8-9730-89E99754A307}"/>
    <hyperlink ref="R20" r:id="rId94" location="/forms/530fe4e5a09f42d0a96cef1b855a5241/preview" display="HANWASH household audit" xr:uid="{C84D379D-9EAB-49FC-926A-990C29BCD91C}"/>
    <hyperlink ref="K31" r:id="rId95" location="/forms/fad15f51bbf44bb0bf9c36f08887c2dd" display="Water point survey (type &amp; functionality) + rapid community assessment (HH count)" xr:uid="{B0F44266-2D64-4829-B44A-61D73E72C3F4}"/>
    <hyperlink ref="O31" r:id="rId96" location="/consoles/1d080c5b8c154825b446b267319a8288?tab=b96fe26a-1712-43b1-a86b-26e9f7b833b4" xr:uid="{1C6FB40C-1514-4090-AC4E-5D51D399D4AB}"/>
    <hyperlink ref="R31" r:id="rId97" location="/forms/530fe4e5a09f42d0a96cef1b855a5241/preview" display="HANWASH household audit" xr:uid="{6CB3CEDD-3337-4D94-8B58-FCA367AEF1BA}"/>
    <hyperlink ref="K56" r:id="rId98" location="/tables/ts109/t6" xr:uid="{E7956E53-45FD-45CE-876F-9BCB1B5CB487}"/>
    <hyperlink ref="O53" r:id="rId99" location="/consoles/818a590d510e40728bc1e969aa98c0db?tab=e4139e54-32f5-49d7-872a-9c40004944f3" xr:uid="{9A062555-F21E-4DF4-BF9A-EDDFC59C7CE7}"/>
    <hyperlink ref="O52" r:id="rId100" location="/consoles/818a590d510e40728bc1e969aa98c0db?tab=e4139e54-32f5-49d7-872a-9c40004944f3" xr:uid="{20F944D1-35A7-4E1C-82C3-00A30AE80351}"/>
    <hyperlink ref="K22" r:id="rId101" location="/forms/fad15f51bbf44bb0bf9c36f08887c2dd" display="Water point survey (type &amp; functionality) + rapid community assessment (HH count)" xr:uid="{51219E51-6043-40D7-8B4A-80D3CA5DCFDA}"/>
    <hyperlink ref="O22" r:id="rId102" location="/consoles/1d080c5b8c154825b446b267319a8288?tab=b96fe26a-1712-43b1-a86b-26e9f7b833b4" xr:uid="{01335629-BBA6-412E-A24D-2A3DD297FC7C}"/>
    <hyperlink ref="P22" r:id="rId103" location="/forms/530fe4e5a09f42d0a96cef1b855a5241/preview" display="HANWASH household audit" xr:uid="{ED52C9E6-8F69-4F5D-82A7-D712E710DBA2}"/>
    <hyperlink ref="K15" r:id="rId104" location="/forms/76ba0885e88a4c20b8686aa9204acd30" xr:uid="{CDD73A7D-5D13-4A82-AEDD-A97B87587CFE}"/>
    <hyperlink ref="O15" r:id="rId105" location="/consoles/1d080c5b8c154825b446b267319a8288?tab=b96fe26a-1712-43b1-a86b-26e9f7b833b4" xr:uid="{98E7083C-464B-455A-A064-D47964F16A96}"/>
    <hyperlink ref="K41" r:id="rId106" location="/forms/76ba0885e88a4c20b8686aa9204acd30" display="Implementation event tracking form" xr:uid="{0BC32811-C11F-43AA-A531-E7AAA822E641}"/>
    <hyperlink ref="O41" r:id="rId107" location="/consoles/1d080c5b8c154825b446b267319a8288?tab=b96fe26a-1712-43b1-a86b-26e9f7b833b4" xr:uid="{FFD0BFF7-615F-4CBA-B92C-F5327B6A64D3}"/>
    <hyperlink ref="U41" r:id="rId108" location="/consoles/1d080c5b8c154825b446b267319a8288?tab=b96fe26a-1712-43b1-a86b-26e9f7b833b4" xr:uid="{5238DF8E-AAE4-43E7-8F32-2588DF483D0F}"/>
    <hyperlink ref="K24" r:id="rId109" location="/forms/d97abfe8b83843dcb03c5b1d72e01f93/preview" display="SAEP monthly report" xr:uid="{53900F25-5E70-4367-A0CE-4544326B4920}"/>
    <hyperlink ref="O24" r:id="rId110" location="/consoles/1d080c5b8c154825b446b267319a8288?tab=b96fe26a-1712-43b1-a86b-26e9f7b833b4" xr:uid="{358262A4-C1FE-4B4E-961B-6D8D6C6304CA}"/>
    <hyperlink ref="U24" r:id="rId111" location="/consoles/1d080c5b8c154825b446b267319a8288?tab=b96fe26a-1712-43b1-a86b-26e9f7b833b4" xr:uid="{FF47A424-DE92-4032-8714-F4D5BD857D63}"/>
  </hyperlinks>
  <pageMargins left="0.7" right="0.7" top="0.75" bottom="0.75" header="0.3" footer="0.3"/>
  <pageSetup fitToWidth="0" orientation="portrait"/>
  <legacyDrawing r:id="rId11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663BF-485C-466E-81BA-20D32C6A6E7C}">
  <dimension ref="A1:D15"/>
  <sheetViews>
    <sheetView topLeftCell="A3" workbookViewId="0">
      <selection activeCell="D18" sqref="D18"/>
    </sheetView>
  </sheetViews>
  <sheetFormatPr defaultColWidth="8.875" defaultRowHeight="15.6"/>
  <cols>
    <col min="1" max="1" width="20.625" bestFit="1" customWidth="1"/>
    <col min="2" max="3" width="15.5" customWidth="1"/>
    <col min="4" max="4" width="62.375" customWidth="1"/>
  </cols>
  <sheetData>
    <row r="1" spans="1:4">
      <c r="A1" s="502" t="s">
        <v>173</v>
      </c>
      <c r="B1" s="503"/>
      <c r="C1" s="503"/>
      <c r="D1" s="504"/>
    </row>
    <row r="2" spans="1:4">
      <c r="A2" s="505" t="s">
        <v>574</v>
      </c>
      <c r="B2" s="506"/>
      <c r="C2" s="506"/>
      <c r="D2" s="507"/>
    </row>
    <row r="3" spans="1:4">
      <c r="A3" s="505" t="s">
        <v>575</v>
      </c>
      <c r="B3" s="506"/>
      <c r="C3" s="506"/>
      <c r="D3" s="507"/>
    </row>
    <row r="4" spans="1:4">
      <c r="A4" s="508" t="s">
        <v>576</v>
      </c>
      <c r="B4" s="509"/>
      <c r="C4" s="509"/>
      <c r="D4" s="510"/>
    </row>
    <row r="5" spans="1:4">
      <c r="A5" s="570" t="s">
        <v>525</v>
      </c>
      <c r="B5" s="571"/>
      <c r="C5" s="571"/>
      <c r="D5" s="572"/>
    </row>
    <row r="6" spans="1:4">
      <c r="A6" s="508" t="s">
        <v>577</v>
      </c>
      <c r="B6" s="509"/>
      <c r="C6" s="509"/>
      <c r="D6" s="510"/>
    </row>
    <row r="7" spans="1:4">
      <c r="A7" s="511" t="s">
        <v>578</v>
      </c>
      <c r="B7" s="512"/>
      <c r="C7" s="512"/>
      <c r="D7" s="513"/>
    </row>
    <row r="9" spans="1:4">
      <c r="A9" s="5" t="s">
        <v>579</v>
      </c>
    </row>
    <row r="10" spans="1:4">
      <c r="A10" s="154" t="s">
        <v>529</v>
      </c>
      <c r="B10" s="154" t="s">
        <v>580</v>
      </c>
      <c r="C10" s="154" t="s">
        <v>581</v>
      </c>
      <c r="D10" s="154" t="s">
        <v>9</v>
      </c>
    </row>
    <row r="11" spans="1:4" ht="35.25" customHeight="1">
      <c r="A11" s="173">
        <v>1</v>
      </c>
      <c r="B11" s="173" t="s">
        <v>582</v>
      </c>
      <c r="C11" s="173" t="s">
        <v>583</v>
      </c>
      <c r="D11" s="205" t="s">
        <v>584</v>
      </c>
    </row>
    <row r="12" spans="1:4" ht="35.25" customHeight="1">
      <c r="A12" s="173">
        <v>2</v>
      </c>
      <c r="B12" s="173" t="s">
        <v>585</v>
      </c>
      <c r="C12" s="173" t="s">
        <v>586</v>
      </c>
      <c r="D12" s="205" t="s">
        <v>587</v>
      </c>
    </row>
    <row r="13" spans="1:4" ht="35.25" customHeight="1">
      <c r="A13" s="173">
        <v>3</v>
      </c>
      <c r="B13" s="173" t="s">
        <v>588</v>
      </c>
      <c r="C13" s="173" t="s">
        <v>589</v>
      </c>
      <c r="D13" s="205" t="s">
        <v>590</v>
      </c>
    </row>
    <row r="14" spans="1:4" ht="35.25" customHeight="1">
      <c r="A14" s="173">
        <v>4</v>
      </c>
      <c r="B14" s="173" t="s">
        <v>591</v>
      </c>
      <c r="C14" s="173" t="s">
        <v>592</v>
      </c>
      <c r="D14" s="205" t="s">
        <v>593</v>
      </c>
    </row>
    <row r="15" spans="1:4" ht="35.25" customHeight="1">
      <c r="A15" s="173">
        <v>5</v>
      </c>
      <c r="B15" s="173" t="s">
        <v>594</v>
      </c>
      <c r="C15" s="173" t="s">
        <v>595</v>
      </c>
      <c r="D15" s="205" t="s">
        <v>596</v>
      </c>
    </row>
  </sheetData>
  <mergeCells count="7">
    <mergeCell ref="A7:D7"/>
    <mergeCell ref="A1:D1"/>
    <mergeCell ref="A2:D2"/>
    <mergeCell ref="A3:D3"/>
    <mergeCell ref="A4:D4"/>
    <mergeCell ref="A5:D5"/>
    <mergeCell ref="A6:D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6798FD47D14804A9A064AD60D16542B" ma:contentTypeVersion="16" ma:contentTypeDescription="Create a new document." ma:contentTypeScope="" ma:versionID="c5b8545302b9e93f617c35a6a938a86d">
  <xsd:schema xmlns:xsd="http://www.w3.org/2001/XMLSchema" xmlns:xs="http://www.w3.org/2001/XMLSchema" xmlns:p="http://schemas.microsoft.com/office/2006/metadata/properties" xmlns:ns2="4801f88f-ec94-4a44-a5fe-a1df3097958c" xmlns:ns3="0d56a4a9-a5f6-4dda-a10a-db797b3654d2" targetNamespace="http://schemas.microsoft.com/office/2006/metadata/properties" ma:root="true" ma:fieldsID="e9bded26a62e8c8712e1042b88afd85d" ns2:_="" ns3:_="">
    <xsd:import namespace="4801f88f-ec94-4a44-a5fe-a1df3097958c"/>
    <xsd:import namespace="0d56a4a9-a5f6-4dda-a10a-db797b3654d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01f88f-ec94-4a44-a5fe-a1df309795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c2934e5-30b4-4ab0-8967-45c20bd1b9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d56a4a9-a5f6-4dda-a10a-db797b3654d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fb45ce1-0285-44d4-88e1-ab67d7b25eee}" ma:internalName="TaxCatchAll" ma:showField="CatchAllData" ma:web="0d56a4a9-a5f6-4dda-a10a-db797b3654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0d56a4a9-a5f6-4dda-a10a-db797b3654d2">
      <UserInfo>
        <DisplayName>Omar Keith Helferich</DisplayName>
        <AccountId>117</AccountId>
        <AccountType/>
      </UserInfo>
      <UserInfo>
        <DisplayName>Barb Spangler</DisplayName>
        <AccountId>391</AccountId>
        <AccountType/>
      </UserInfo>
      <UserInfo>
        <DisplayName>Ryan Rowe</DisplayName>
        <AccountId>13</AccountId>
        <AccountType/>
      </UserInfo>
      <UserInfo>
        <DisplayName>Tristam Johnson</DisplayName>
        <AccountId>537</AccountId>
        <AccountType/>
      </UserInfo>
    </SharedWithUsers>
    <lcf76f155ced4ddcb4097134ff3c332f xmlns="4801f88f-ec94-4a44-a5fe-a1df3097958c">
      <Terms xmlns="http://schemas.microsoft.com/office/infopath/2007/PartnerControls"/>
    </lcf76f155ced4ddcb4097134ff3c332f>
    <TaxCatchAll xmlns="0d56a4a9-a5f6-4dda-a10a-db797b3654d2" xsi:nil="true"/>
    <MediaLengthInSeconds xmlns="4801f88f-ec94-4a44-a5fe-a1df3097958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E73404-6FF8-49BC-A088-EEF2B1769196}"/>
</file>

<file path=customXml/itemProps2.xml><?xml version="1.0" encoding="utf-8"?>
<ds:datastoreItem xmlns:ds="http://schemas.openxmlformats.org/officeDocument/2006/customXml" ds:itemID="{3D1799DE-CC96-4CA3-A9CC-792D122D9855}"/>
</file>

<file path=customXml/itemProps3.xml><?xml version="1.0" encoding="utf-8"?>
<ds:datastoreItem xmlns:ds="http://schemas.openxmlformats.org/officeDocument/2006/customXml" ds:itemID="{4FD855EC-D672-4308-AA2B-C5E52A55C69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Jennifer Piccin</dc:creator>
  <cp:keywords/>
  <dc:description/>
  <cp:lastModifiedBy/>
  <cp:revision/>
  <dcterms:created xsi:type="dcterms:W3CDTF">2022-08-02T16:00:47Z</dcterms:created>
  <dcterms:modified xsi:type="dcterms:W3CDTF">2025-11-18T17:14:11Z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0x010100B6798FD47D14804A9A064AD60D16542B</vt:lpwstr>
  </property>
  <property fmtid="{D5CDD505-2E9C-101B-9397-08002B2CF9AE}" pid="4" name="Order">
    <vt:i4>26400</vt:i4>
  </property>
  <property fmtid="{D5CDD505-2E9C-101B-9397-08002B2CF9AE}" pid="5" name="xd_ProgID">
    <vt:lpwstr/>
  </property>
  <property fmtid="{D5CDD505-2E9C-101B-9397-08002B2CF9AE}" pid="6" name="_ColorHex">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_ColorTag">
    <vt:lpwstr/>
  </property>
  <property fmtid="{D5CDD505-2E9C-101B-9397-08002B2CF9AE}" pid="11" name="TriggerFlowInfo">
    <vt:lpwstr/>
  </property>
  <property fmtid="{D5CDD505-2E9C-101B-9397-08002B2CF9AE}" pid="12" name="xd_Signature">
    <vt:bool>false</vt:bool>
  </property>
  <property fmtid="{D5CDD505-2E9C-101B-9397-08002B2CF9AE}" pid="13" name="_Emoji">
    <vt:lpwstr/>
  </property>
</Properties>
</file>